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als" sheetId="1" r:id="rId5"/>
    <sheet state="hidden" name="Slack Users" sheetId="2" r:id="rId6"/>
    <sheet state="hidden" name="Slack Channels" sheetId="3" r:id="rId7"/>
    <sheet state="hidden" name="Bot Log" sheetId="4" r:id="rId8"/>
    <sheet state="visible" name="Milestones" sheetId="5" r:id="rId9"/>
    <sheet state="visible" name="Timeline" sheetId="6" r:id="rId10"/>
    <sheet state="hidden" name="References" sheetId="7" r:id="rId11"/>
    <sheet state="hidden" name="Task Master" sheetId="8" r:id="rId12"/>
    <sheet state="hidden" name="Timeline Driver" sheetId="9" r:id="rId13"/>
    <sheet state="visible" name="GE Tasks" sheetId="10" r:id="rId14"/>
    <sheet state="visible" name="HV Tasks" sheetId="11" r:id="rId15"/>
    <sheet state="visible" name="LV Tasks" sheetId="12" r:id="rId16"/>
    <sheet state="visible" name="CO Tasks" sheetId="13" r:id="rId17"/>
    <sheet state="visible" name="FW Tasks" sheetId="14" r:id="rId18"/>
    <sheet state="visible" name="AU Tasks" sheetId="15" r:id="rId19"/>
    <sheet state="visible" name="AE Tasks" sheetId="16" r:id="rId20"/>
    <sheet state="visible" name="ER Tasks" sheetId="17" r:id="rId21"/>
    <sheet state="visible" name="MO Tasks" sheetId="18" r:id="rId22"/>
    <sheet state="visible" name="SU Tasks" sheetId="19" r:id="rId23"/>
    <sheet state="visible" name="UN Tasks" sheetId="20" r:id="rId24"/>
    <sheet state="visible" name="BU Tasks" sheetId="21" r:id="rId25"/>
  </sheets>
  <definedNames/>
  <calcPr/>
</workbook>
</file>

<file path=xl/sharedStrings.xml><?xml version="1.0" encoding="utf-8"?>
<sst xmlns="http://schemas.openxmlformats.org/spreadsheetml/2006/main" count="4416" uniqueCount="996">
  <si>
    <t>Subteam</t>
  </si>
  <si>
    <t>Timestamp</t>
  </si>
  <si>
    <t>Name in Sheet</t>
  </si>
  <si>
    <t>Slack Channel ID</t>
  </si>
  <si>
    <t>Slack User ID</t>
  </si>
  <si>
    <t>Level</t>
  </si>
  <si>
    <t>Run Date</t>
  </si>
  <si>
    <t>Milestone</t>
  </si>
  <si>
    <t>Event</t>
  </si>
  <si>
    <t>Dedupe Key</t>
  </si>
  <si>
    <t>Details</t>
  </si>
  <si>
    <t>Slack Message ID</t>
  </si>
  <si>
    <t>INFO</t>
  </si>
  <si>
    <t>RUN_STARTED</t>
  </si>
  <si>
    <t>Daily milestone bot started. Dry run: true.</t>
  </si>
  <si>
    <t>ERROR</t>
  </si>
  <si>
    <t>PT_M001</t>
  </si>
  <si>
    <t>INVALID_MILESTONE_DUE</t>
  </si>
  <si>
    <t>Milestone PT_M001 has no valid Due date.</t>
  </si>
  <si>
    <t>PT_M003</t>
  </si>
  <si>
    <t>Milestone PT_M003 has no valid Due date.</t>
  </si>
  <si>
    <t>PT_M004</t>
  </si>
  <si>
    <t>Milestone PT_M004 has no valid Due date.</t>
  </si>
  <si>
    <t>PT_M005</t>
  </si>
  <si>
    <t>Milestone PT_M005 has no valid Due date.</t>
  </si>
  <si>
    <t>GE_M008</t>
  </si>
  <si>
    <t>Milestone GE_M008 has no valid Due date.</t>
  </si>
  <si>
    <t>GE_M009</t>
  </si>
  <si>
    <t>Milestone GE_M009 has no valid Due date.</t>
  </si>
  <si>
    <t>FW_M001</t>
  </si>
  <si>
    <t>Milestone FW_M001 has no valid Due date.</t>
  </si>
  <si>
    <t>MO_M005</t>
  </si>
  <si>
    <t>Milestone MO_M005 has no valid Due date.</t>
  </si>
  <si>
    <t>MO_M006</t>
  </si>
  <si>
    <t>Milestone MO_M006 has no valid Due date.</t>
  </si>
  <si>
    <t>MO_M009</t>
  </si>
  <si>
    <t>Milestone MO_M009 has no valid Due date.</t>
  </si>
  <si>
    <t>AE_M001</t>
  </si>
  <si>
    <t>Milestone AE_M001 has no valid Due date.</t>
  </si>
  <si>
    <t>AE_M002</t>
  </si>
  <si>
    <t>Milestone AE_M002 has no valid Due date.</t>
  </si>
  <si>
    <t>AE_M003</t>
  </si>
  <si>
    <t>Milestone AE_M003 has no valid Due date.</t>
  </si>
  <si>
    <t>AE_M004</t>
  </si>
  <si>
    <t>Milestone AE_M004 has no valid Due date.</t>
  </si>
  <si>
    <t>LV_M001</t>
  </si>
  <si>
    <t>Milestone LV_M001 has no valid Due date.</t>
  </si>
  <si>
    <t>FW_M003</t>
  </si>
  <si>
    <t>Milestone FW_M003 has no valid Due date.</t>
  </si>
  <si>
    <t>HV_M001</t>
  </si>
  <si>
    <t>NO_MILESTONE_TASKS</t>
  </si>
  <si>
    <t>No tasks in Task Master reference milestone HV_M001.</t>
  </si>
  <si>
    <t>SU_M010</t>
  </si>
  <si>
    <t>No tasks in Task Master reference milestone SU_M010.</t>
  </si>
  <si>
    <t>GE_M010</t>
  </si>
  <si>
    <t>No tasks in Task Master reference milestone GE_M010.</t>
  </si>
  <si>
    <t>RUN_COMPLETED</t>
  </si>
  <si>
    <t>Processed 3 triggered milestone(s).</t>
  </si>
  <si>
    <t>ID</t>
  </si>
  <si>
    <t>Goal</t>
  </si>
  <si>
    <t>Status</t>
  </si>
  <si>
    <t>Success Metric</t>
  </si>
  <si>
    <t>Notes</t>
  </si>
  <si>
    <t>Win Endurance</t>
  </si>
  <si>
    <t>General</t>
  </si>
  <si>
    <t>On Track</t>
  </si>
  <si>
    <t>Get Lapsim data on needed power limit, regen strategy</t>
  </si>
  <si>
    <t>Task</t>
  </si>
  <si>
    <t>Start</t>
  </si>
  <si>
    <t>Due</t>
  </si>
  <si>
    <t>Dependencies</t>
  </si>
  <si>
    <t>Win Design</t>
  </si>
  <si>
    <t>Priority</t>
  </si>
  <si>
    <t>Assemblies</t>
  </si>
  <si>
    <t>GE</t>
  </si>
  <si>
    <t>Not Started</t>
  </si>
  <si>
    <t>Critical</t>
  </si>
  <si>
    <t>A00 - General</t>
  </si>
  <si>
    <t>Chassis</t>
  </si>
  <si>
    <t>CH</t>
  </si>
  <si>
    <t>In Progress</t>
  </si>
  <si>
    <t>High</t>
  </si>
  <si>
    <t>A01 - Chassis</t>
  </si>
  <si>
    <t>Powertrain</t>
  </si>
  <si>
    <t>PT</t>
  </si>
  <si>
    <t>Blocked</t>
  </si>
  <si>
    <t>Medium</t>
  </si>
  <si>
    <t>A02 - Powertrain</t>
  </si>
  <si>
    <t>High Voltage</t>
  </si>
  <si>
    <t>HV</t>
  </si>
  <si>
    <t>Review</t>
  </si>
  <si>
    <t>Low</t>
  </si>
  <si>
    <t>A01 - High Voltage</t>
  </si>
  <si>
    <t>Low Voltage</t>
  </si>
  <si>
    <t>LV</t>
  </si>
  <si>
    <t>Complete</t>
  </si>
  <si>
    <t>A02 - Modules</t>
  </si>
  <si>
    <t>Cooling</t>
  </si>
  <si>
    <t>CO</t>
  </si>
  <si>
    <t>A03 - Case</t>
  </si>
  <si>
    <t>Firmware</t>
  </si>
  <si>
    <t>FW</t>
  </si>
  <si>
    <t>A04 - Accumulator Electronics</t>
  </si>
  <si>
    <t>Autonomy</t>
  </si>
  <si>
    <t>AU</t>
  </si>
  <si>
    <t>A05 - Inverter Enclosure</t>
  </si>
  <si>
    <t>Aerodynamics</t>
  </si>
  <si>
    <t>AE</t>
  </si>
  <si>
    <t>A06 - Powerhouse</t>
  </si>
  <si>
    <t>Ergonomics</t>
  </si>
  <si>
    <t>ER</t>
  </si>
  <si>
    <t>A07 - Control Panel</t>
  </si>
  <si>
    <t>Monocoque</t>
  </si>
  <si>
    <t>MO</t>
  </si>
  <si>
    <t>A08 - RTML and TSSI</t>
  </si>
  <si>
    <t>Suspension</t>
  </si>
  <si>
    <t>SU</t>
  </si>
  <si>
    <t>A09 - Other High Voltage</t>
  </si>
  <si>
    <t>Unsprung</t>
  </si>
  <si>
    <t>UN</t>
  </si>
  <si>
    <t>A01 - Low Voltage</t>
  </si>
  <si>
    <t>Business</t>
  </si>
  <si>
    <t>BU</t>
  </si>
  <si>
    <t>A02 - Harness</t>
  </si>
  <si>
    <t>A03 - ECU</t>
  </si>
  <si>
    <t>A04 - BMS Child</t>
  </si>
  <si>
    <t>A05 - ACU</t>
  </si>
  <si>
    <t>A06 - Shutdown</t>
  </si>
  <si>
    <t>Win Cost</t>
  </si>
  <si>
    <t>A07 - Discharge</t>
  </si>
  <si>
    <t>A08 - PDU</t>
  </si>
  <si>
    <t>A09 - Dash</t>
  </si>
  <si>
    <t>A10 - Other Low Voltage</t>
  </si>
  <si>
    <t>A01 - Cooling</t>
  </si>
  <si>
    <t>First Drive</t>
  </si>
  <si>
    <t>A02 - Liquid Loop</t>
  </si>
  <si>
    <t>A03 - Cooling Sleeve</t>
  </si>
  <si>
    <t>A04 - Accumulator Cooling</t>
  </si>
  <si>
    <t>A05 - Other Cooling</t>
  </si>
  <si>
    <t>A01 - Firmware</t>
  </si>
  <si>
    <t>A02 - BMS Code</t>
  </si>
  <si>
    <t>A03 - ECU Code</t>
  </si>
  <si>
    <t>A04 - Active VD Controls</t>
  </si>
  <si>
    <t>A05 - Dash Firmware</t>
  </si>
  <si>
    <t>A06 - Other Firmware</t>
  </si>
  <si>
    <t>A01 - Autonomy</t>
  </si>
  <si>
    <t>A02 - Autonomy Mechanical</t>
  </si>
  <si>
    <t>A03 - Path Planning and Following</t>
  </si>
  <si>
    <t>A04 - Sensors and Harnessing</t>
  </si>
  <si>
    <t>A05 - Compute and Hardware</t>
  </si>
  <si>
    <t>A06 - Perception and Data Interface</t>
  </si>
  <si>
    <t>A07 - Software Pipeline</t>
  </si>
  <si>
    <t>Win Presentation</t>
  </si>
  <si>
    <t>A08 - Other Autonomy</t>
  </si>
  <si>
    <t>A01 - Aerodynamics</t>
  </si>
  <si>
    <t>A02 - Front Wing</t>
  </si>
  <si>
    <t>A03 - Rear Wing</t>
  </si>
  <si>
    <t>A04 - Undertray</t>
  </si>
  <si>
    <t>A05 - Auxiliary Elements</t>
  </si>
  <si>
    <t>A06 - Sidepod</t>
  </si>
  <si>
    <t>A07 - CFD</t>
  </si>
  <si>
    <t>A08 - Other Aerodynamics</t>
  </si>
  <si>
    <t>A01 - Ergonomics</t>
  </si>
  <si>
    <t>A02 - Steering</t>
  </si>
  <si>
    <t>A03 - Pedals</t>
  </si>
  <si>
    <t>A04 - Seat</t>
  </si>
  <si>
    <t>A05 - Firewall</t>
  </si>
  <si>
    <t>A06 - Head Restraint</t>
  </si>
  <si>
    <t>A07 - Steering Wheel</t>
  </si>
  <si>
    <t>A08 - Other Ergonomics</t>
  </si>
  <si>
    <t>A01 - Monocoque</t>
  </si>
  <si>
    <t>A02 - MO Geometry</t>
  </si>
  <si>
    <t>A03 - Protective Structures</t>
  </si>
  <si>
    <t>A05 - SES and Ply Schedules</t>
  </si>
  <si>
    <t>A06 - Other Monocoque</t>
  </si>
  <si>
    <t>A01 - Suspension</t>
  </si>
  <si>
    <t>A02 - Links</t>
  </si>
  <si>
    <t>A03 - Clevises</t>
  </si>
  <si>
    <t>Proper Mounting + Integration</t>
  </si>
  <si>
    <t>A04 - Rockers</t>
  </si>
  <si>
    <t>A05 - Anti-Roll</t>
  </si>
  <si>
    <t>A08 - Jig Plate</t>
  </si>
  <si>
    <t>A09 - Other Suspension</t>
  </si>
  <si>
    <t>Chassis Drop</t>
  </si>
  <si>
    <t>A01 - Unsprung</t>
  </si>
  <si>
    <t>A02 - Hubs and Uprights</t>
  </si>
  <si>
    <t>Robust with a consistent safety factor, no tapes,</t>
  </si>
  <si>
    <t>A03 - Brakes</t>
  </si>
  <si>
    <t>A04 - Gearbox</t>
  </si>
  <si>
    <t>A05 - Other Unsprung</t>
  </si>
  <si>
    <t>A01 - Business</t>
  </si>
  <si>
    <t>A02 - Purchasing</t>
  </si>
  <si>
    <t>A03 - Recruitment</t>
  </si>
  <si>
    <t>A04 - Business Presentations</t>
  </si>
  <si>
    <t>A05 - Fundraising, Sponsors</t>
  </si>
  <si>
    <t>A06 - Website</t>
  </si>
  <si>
    <t>A07 - Social Media</t>
  </si>
  <si>
    <t>A08 - Merch</t>
  </si>
  <si>
    <t>Reliable Car</t>
  </si>
  <si>
    <t>A09 - Other Business</t>
  </si>
  <si>
    <t>Delayed</t>
  </si>
  <si>
    <t>Elaborate</t>
  </si>
  <si>
    <t>380 LB Car</t>
  </si>
  <si>
    <t>Powertrain Off Car Drop</t>
  </si>
  <si>
    <t>Owner</t>
  </si>
  <si>
    <t>Need Lapsim data on this</t>
  </si>
  <si>
    <t>Deliverables</t>
  </si>
  <si>
    <t>Part Design</t>
  </si>
  <si>
    <t>40lb Tub</t>
  </si>
  <si>
    <t>SDR</t>
  </si>
  <si>
    <t>Full Working/Rules Compliant Sensor Package</t>
  </si>
  <si>
    <t>System PDR</t>
  </si>
  <si>
    <t>Testing: 95% of Elastic Modulus of Steel</t>
  </si>
  <si>
    <t>System Level Targets, reviewed by Alumni</t>
  </si>
  <si>
    <t>90lb pack</t>
  </si>
  <si>
    <t>PDR</t>
  </si>
  <si>
    <t>Stay Competitive in all events</t>
  </si>
  <si>
    <t>ADR</t>
  </si>
  <si>
    <t>Complete Full Trackdrive</t>
  </si>
  <si>
    <t>System that can support human driving speeds</t>
  </si>
  <si>
    <t>FDR</t>
  </si>
  <si>
    <t>Seamless integration with ARG26 &amp; safety-compliant</t>
  </si>
  <si>
    <t>Order DTI Motors + Inverters</t>
  </si>
  <si>
    <t>Accurately redefine driver load cases across all parts</t>
  </si>
  <si>
    <t>Have the Data to backup our load cases, hasn't been done in years.</t>
  </si>
  <si>
    <t>Commonized components</t>
  </si>
  <si>
    <t>Motor Spin</t>
  </si>
  <si>
    <t>Altium library created and integrated into all PCB designs</t>
  </si>
  <si>
    <t>Motor Spin on Car</t>
  </si>
  <si>
    <t>Steady State Powertrain</t>
  </si>
  <si>
    <t>CAD Freeze</t>
  </si>
  <si>
    <t>Rules Released</t>
  </si>
  <si>
    <t>Dynamic Cad done</t>
  </si>
  <si>
    <t>Order pouch cells</t>
  </si>
  <si>
    <t>Order fireproof composite material</t>
  </si>
  <si>
    <t>Module parts manufactured and QCed</t>
  </si>
  <si>
    <t>Composite case manufactured</t>
  </si>
  <si>
    <t>Acc electronics components finalized (busbars inclusive)</t>
  </si>
  <si>
    <t>Autonomous Sensor + ARG26 Trackdrive</t>
  </si>
  <si>
    <t>Mapping + ARG26 Trackdrive</t>
  </si>
  <si>
    <t>Integration of DV + ARG26</t>
  </si>
  <si>
    <t>First driverless motion through set of cones</t>
  </si>
  <si>
    <t>First full driverless autox</t>
  </si>
  <si>
    <t>Furst full driverless trackdrive</t>
  </si>
  <si>
    <t>Liquid Loop Assembled on Bench</t>
  </si>
  <si>
    <t>Subteam part designer sprints</t>
  </si>
  <si>
    <t>GE_A00_T002</t>
  </si>
  <si>
    <t>Tuning for Toronto Shootout</t>
  </si>
  <si>
    <t>GE_A00_T003</t>
  </si>
  <si>
    <t>Pack for Toronto Shootout</t>
  </si>
  <si>
    <t>GE_A00_T004</t>
  </si>
  <si>
    <t>Tech inspection for Toronto Shootout</t>
  </si>
  <si>
    <t>GE_A01_T001</t>
  </si>
  <si>
    <t>Mech Check outs for ARG26</t>
  </si>
  <si>
    <t>GE_A01_T002</t>
  </si>
  <si>
    <t>ARG26 Bolt Check</t>
  </si>
  <si>
    <t>GE_A02_T001</t>
  </si>
  <si>
    <t>EV Check outs for ARG26</t>
  </si>
  <si>
    <t>GE_A02_T002</t>
  </si>
  <si>
    <t>Sensor integration on ARG26</t>
  </si>
  <si>
    <t>GE_A02_T003</t>
  </si>
  <si>
    <t>Charging ARG26 pack</t>
  </si>
  <si>
    <t>HV_A01_T001</t>
  </si>
  <si>
    <t>test task</t>
  </si>
  <si>
    <t>Liquid Loop Bled on Car</t>
  </si>
  <si>
    <t>LV_A01_T001</t>
  </si>
  <si>
    <t>Altium library basics finished</t>
  </si>
  <si>
    <t>LV_A04_T001</t>
  </si>
  <si>
    <t>Design first rev of BMS Child</t>
  </si>
  <si>
    <t>LV_A04_T002</t>
  </si>
  <si>
    <t>Test/debug first rev of BMS child</t>
  </si>
  <si>
    <t>LV_A04_T003</t>
  </si>
  <si>
    <t>Validate communication between BMS child/mother</t>
  </si>
  <si>
    <t>LV_A04_T004</t>
  </si>
  <si>
    <t>Design final rev of BMS child for module integration</t>
  </si>
  <si>
    <t>LV_A04_T005</t>
  </si>
  <si>
    <t>Test final rev of BMS child</t>
  </si>
  <si>
    <t>LV_A04_T006</t>
  </si>
  <si>
    <t>Bring up + validate all BMS children + spares</t>
  </si>
  <si>
    <t>LV_A06_T001</t>
  </si>
  <si>
    <t>Shutdown circuit closes</t>
  </si>
  <si>
    <t>LV_A07_T001</t>
  </si>
  <si>
    <t>Precharge and discharge validated</t>
  </si>
  <si>
    <t>LV_A08_T001</t>
  </si>
  <si>
    <t>Get PDM08 and ACC3s</t>
  </si>
  <si>
    <t>LV_A08_T002</t>
  </si>
  <si>
    <t>HV DCDC/LV DCDC Choice</t>
  </si>
  <si>
    <t>LV_A08_T003</t>
  </si>
  <si>
    <t>Design first rev of PDU</t>
  </si>
  <si>
    <t>Final Loop Test</t>
  </si>
  <si>
    <t>LV_A09_T001</t>
  </si>
  <si>
    <t>Dash multple screens</t>
  </si>
  <si>
    <t>LV_A09_T002</t>
  </si>
  <si>
    <t>Design first rev of Dash</t>
  </si>
  <si>
    <t>Planned</t>
  </si>
  <si>
    <t>LV_A09_T003</t>
  </si>
  <si>
    <t>Order Dash components</t>
  </si>
  <si>
    <t>LV_A09_T004</t>
  </si>
  <si>
    <t>Bring up + Test Dash rev1</t>
  </si>
  <si>
    <t>LV_A09_T005</t>
  </si>
  <si>
    <t>Dash harnessing</t>
  </si>
  <si>
    <t>LV_A09_T006</t>
  </si>
  <si>
    <t>Dash integration</t>
  </si>
  <si>
    <t>LV_A09_T007</t>
  </si>
  <si>
    <t>Bring up final rev Dash spares</t>
  </si>
  <si>
    <t>CO_A02_T002</t>
  </si>
  <si>
    <t>Run full liquid loop pressure drop test</t>
  </si>
  <si>
    <t>CO_A02_T009</t>
  </si>
  <si>
    <t>Identify system parameters w/ hand calcs and data</t>
  </si>
  <si>
    <t>CO_A02_T003</t>
  </si>
  <si>
    <t>Determine necessary radiator and fan specifications</t>
  </si>
  <si>
    <t>CO_A02_T004</t>
  </si>
  <si>
    <t>Order stock radiator for testing</t>
  </si>
  <si>
    <t>CO_A02_T005</t>
  </si>
  <si>
    <t>Test and confirm geometry/layout</t>
  </si>
  <si>
    <t>Final Designs Manufactured</t>
  </si>
  <si>
    <t>CO_A02_T001</t>
  </si>
  <si>
    <t>PRIORITY: order custom radiator</t>
  </si>
  <si>
    <t>CO_A02_T006</t>
  </si>
  <si>
    <t>Manufacture liquid loop prototype</t>
  </si>
  <si>
    <t>CO_A02_T007</t>
  </si>
  <si>
    <t>Conduct tests and collect data for pressure drop and heat rejection</t>
  </si>
  <si>
    <t>CO_A02_T008</t>
  </si>
  <si>
    <t>Assemble final liquid loop on bench</t>
  </si>
  <si>
    <t>CO_A02_T010</t>
  </si>
  <si>
    <t>Calibrate Temp sensors and put on car for endurance testing</t>
  </si>
  <si>
    <t>CO_A03_T001</t>
  </si>
  <si>
    <t>Run motor sleeve heat rejection + flow test</t>
  </si>
  <si>
    <t>CO_A03_T002</t>
  </si>
  <si>
    <t>Cooling Sleeve ANSYS Model</t>
  </si>
  <si>
    <t>CO_A03_T003</t>
  </si>
  <si>
    <t>Determine Cooling Sleeve Sealing Strategy</t>
  </si>
  <si>
    <t>CO_A04_T001</t>
  </si>
  <si>
    <t>Acc Cooling ANSYS Model</t>
  </si>
  <si>
    <t>CO_A04_T002</t>
  </si>
  <si>
    <t>Base Simulation for Acc Cooling + Feasible Configurations</t>
  </si>
  <si>
    <t>CO_A04_T003</t>
  </si>
  <si>
    <t>Preliminary Acc Cooling Testing</t>
  </si>
  <si>
    <t>FW_A01_T001</t>
  </si>
  <si>
    <t>ARG27 VD flashed on car</t>
  </si>
  <si>
    <t>FW_A02_T001</t>
  </si>
  <si>
    <t>SOC drawn out implementation</t>
  </si>
  <si>
    <t>FW_A02_T002</t>
  </si>
  <si>
    <t>ACU bring up testing branch formed</t>
  </si>
  <si>
    <t>FW_A02_T003</t>
  </si>
  <si>
    <t>SOC working on arg26</t>
  </si>
  <si>
    <t>FW_A02_T004</t>
  </si>
  <si>
    <t>LAMBMS what needs to change ready</t>
  </si>
  <si>
    <t>FW_A02_T005</t>
  </si>
  <si>
    <t>Final Designs Completed</t>
  </si>
  <si>
    <t>Serial monitor clean up</t>
  </si>
  <si>
    <t>FW_A02_T006</t>
  </si>
  <si>
    <t>SOC on arg27</t>
  </si>
  <si>
    <t>FW_A03_T001</t>
  </si>
  <si>
    <t>RTOS implemented on ARG26</t>
  </si>
  <si>
    <t>FW_A03_T002</t>
  </si>
  <si>
    <t>RTOS MVP</t>
  </si>
  <si>
    <t>FW_A03_T003</t>
  </si>
  <si>
    <t>RTOS testing done</t>
  </si>
  <si>
    <t>FW_A04_T001</t>
  </si>
  <si>
    <t>Lanch control simple model</t>
  </si>
  <si>
    <t>FW_A04_T002</t>
  </si>
  <si>
    <t>Power limiting simple model</t>
  </si>
  <si>
    <t>FW_A04_T003</t>
  </si>
  <si>
    <t>Regen simple model</t>
  </si>
  <si>
    <t>FW_A04_T004</t>
  </si>
  <si>
    <t>Torque Vectoring simple model</t>
  </si>
  <si>
    <t>FW_A04_T005</t>
  </si>
  <si>
    <t>Power limiting complex model</t>
  </si>
  <si>
    <t>FW_A04_T006</t>
  </si>
  <si>
    <t>Regen Complex Model</t>
  </si>
  <si>
    <t>FW_A04_T007</t>
  </si>
  <si>
    <t>Torque Vectoring Complex Model</t>
  </si>
  <si>
    <t>FW_A04_T008</t>
  </si>
  <si>
    <t>Full Prototype Loop Test</t>
  </si>
  <si>
    <t>Launch Control Complex Modeling</t>
  </si>
  <si>
    <t>FW_A04_T009</t>
  </si>
  <si>
    <t>VD DTI motor Comparision</t>
  </si>
  <si>
    <t>FW_A04_T010</t>
  </si>
  <si>
    <t>VD testing plan for all four compontents</t>
  </si>
  <si>
    <t>FW_A04_T013</t>
  </si>
  <si>
    <t>Simplified RTOS implementation for ECU</t>
  </si>
  <si>
    <t>FW_A04_T014</t>
  </si>
  <si>
    <t>Full RTOS port of ECU</t>
  </si>
  <si>
    <t>FW_A04_T015</t>
  </si>
  <si>
    <t>Debug RTOS port for concurrency issues</t>
  </si>
  <si>
    <t>FW_A04_T016</t>
  </si>
  <si>
    <t>Implementing the VD simple models</t>
  </si>
  <si>
    <t>FW_A05_T001</t>
  </si>
  <si>
    <t>Diagrams done, Changes to Dash finialized</t>
  </si>
  <si>
    <t>FW_A05_T002</t>
  </si>
  <si>
    <t>Arg26 Dash fixed</t>
  </si>
  <si>
    <t>FW_A05_T003</t>
  </si>
  <si>
    <t>CanLib integreated to dash</t>
  </si>
  <si>
    <t>FW_A05_T004</t>
  </si>
  <si>
    <t>dash code done</t>
  </si>
  <si>
    <t>FW_A05_T005</t>
  </si>
  <si>
    <t>website done</t>
  </si>
  <si>
    <t>FW_A05_T007</t>
  </si>
  <si>
    <t>Power limiting Logging off car</t>
  </si>
  <si>
    <t>FW_A05_T006</t>
  </si>
  <si>
    <t>FW_A06_T001</t>
  </si>
  <si>
    <t>Telem website working</t>
  </si>
  <si>
    <t>AU_A02_T001</t>
  </si>
  <si>
    <t>Full Prototype Manufactured</t>
  </si>
  <si>
    <t>Design modular ARG26 sensor mount(s)</t>
  </si>
  <si>
    <t>AU_A02_T002</t>
  </si>
  <si>
    <t>Calculate drag of sensor choices for Nicholas</t>
  </si>
  <si>
    <t>AU_A02_T003</t>
  </si>
  <si>
    <t>Build steering actuator system</t>
  </si>
  <si>
    <t>AU_A02_T004</t>
  </si>
  <si>
    <t>Integrate sensor mount onto ARG26</t>
  </si>
  <si>
    <t>AU_A02_T005</t>
  </si>
  <si>
    <t>AU_A03_T001</t>
  </si>
  <si>
    <t>Centerline vs. optimized analysis</t>
  </si>
  <si>
    <t>AU_A03_T002</t>
  </si>
  <si>
    <t>Steering actuator step response transfer function generation</t>
  </si>
  <si>
    <t>AU_A03_T003</t>
  </si>
  <si>
    <t>Minimum lookahead &amp; FOV analysis</t>
  </si>
  <si>
    <t>AU_A03_T004</t>
  </si>
  <si>
    <t>Model Predictive Control parameters calculated</t>
  </si>
  <si>
    <t>AU_A04_T001</t>
  </si>
  <si>
    <t>Camera choice</t>
  </si>
  <si>
    <t>AU_A04_T002</t>
  </si>
  <si>
    <t>LiDAR choice</t>
  </si>
  <si>
    <t>AU_A05_T001</t>
  </si>
  <si>
    <t>Compute module choice</t>
  </si>
  <si>
    <t>AU_A05_T002</t>
  </si>
  <si>
    <t>Figure out what PCBs will be needed for safety compliance autonomy integration to ARG26</t>
  </si>
  <si>
    <t>AU_A05_T003</t>
  </si>
  <si>
    <t>Place order for DCU</t>
  </si>
  <si>
    <t>Full Prototype Designs Completed</t>
  </si>
  <si>
    <t>AU_A05_T004</t>
  </si>
  <si>
    <t>Bring up and test DCU</t>
  </si>
  <si>
    <t>AU_A05_T005</t>
  </si>
  <si>
    <t>Order RAM, storage, CAN PCIe card</t>
  </si>
  <si>
    <t>AU_A06_T001</t>
  </si>
  <si>
    <t>Buy Cones &amp; Reflective Tape</t>
  </si>
  <si>
    <t>AU_A06_T002</t>
  </si>
  <si>
    <t>Get Camera Data off of the Hteng Vishi to Linux/ROS</t>
  </si>
  <si>
    <t>AU_A06_T003</t>
  </si>
  <si>
    <t>Determine required peripherals for putting cameras on car</t>
  </si>
  <si>
    <t>AU_A06_T004</t>
  </si>
  <si>
    <t>CNN/YOLO/other detector for cone color type in autolab</t>
  </si>
  <si>
    <t>AU_A06_T005</t>
  </si>
  <si>
    <t>Get Data off of the LiDAR</t>
  </si>
  <si>
    <t>AU_A06_T007</t>
  </si>
  <si>
    <t>Implement ground removal algorithm</t>
  </si>
  <si>
    <t>AU_A06_T006</t>
  </si>
  <si>
    <t>Implement point clustering algorithm for LiDAR cone detection</t>
  </si>
  <si>
    <t>AU_A07_T001</t>
  </si>
  <si>
    <t>SITL suite</t>
  </si>
  <si>
    <t>AE_A01_T001</t>
  </si>
  <si>
    <t>Aero Mounted</t>
  </si>
  <si>
    <t>AE_A01_T002</t>
  </si>
  <si>
    <t>Manufacture Aero, Pt 1</t>
  </si>
  <si>
    <t>AE_A01_T003</t>
  </si>
  <si>
    <t>Finalize Aero Targets</t>
  </si>
  <si>
    <t>Cooling Power Requirements</t>
  </si>
  <si>
    <t>AE_A01_T004</t>
  </si>
  <si>
    <t>Post PDR Alum Outreach</t>
  </si>
  <si>
    <t>AE_A01_T005</t>
  </si>
  <si>
    <t>Surface Modeling Training</t>
  </si>
  <si>
    <t>AE_A01_T006</t>
  </si>
  <si>
    <t>Mounting Finalized</t>
  </si>
  <si>
    <t>AE_A01_T007</t>
  </si>
  <si>
    <t>Mounting Manufactured</t>
  </si>
  <si>
    <t>AE_A01_T008</t>
  </si>
  <si>
    <t>On-Car Testing</t>
  </si>
  <si>
    <t>AE_A01_T009</t>
  </si>
  <si>
    <t>CFD Analysis Training</t>
  </si>
  <si>
    <t>AE_A02_T001</t>
  </si>
  <si>
    <t>Airfoils selected for wings</t>
  </si>
  <si>
    <t>AE_A02_T002</t>
  </si>
  <si>
    <t>Tooling for Wings and UT Made</t>
  </si>
  <si>
    <t>AE_A02_T003</t>
  </si>
  <si>
    <t>Manufacturing for Wings and UT</t>
  </si>
  <si>
    <t>GE_A00_T001</t>
  </si>
  <si>
    <t>AE_A03_T001</t>
  </si>
  <si>
    <t>Heat Rejection and Pressure Drop Targets</t>
  </si>
  <si>
    <t>AE_A03_T002</t>
  </si>
  <si>
    <t>AE_A03_T003</t>
  </si>
  <si>
    <t>AE_A04_T001</t>
  </si>
  <si>
    <t>AE_A04_T002</t>
  </si>
  <si>
    <t>AE_A05_T001</t>
  </si>
  <si>
    <t>Plugs for Nosecone and Sidepods Made</t>
  </si>
  <si>
    <t>AE_A05_T002</t>
  </si>
  <si>
    <t>Manufacturing for Nosecone and Sidepod</t>
  </si>
  <si>
    <t>AE_A06_T001</t>
  </si>
  <si>
    <t>AE_A06_T002</t>
  </si>
  <si>
    <t>AE_A07_T001</t>
  </si>
  <si>
    <t>Choose Radiatior Location Based on CFD</t>
  </si>
  <si>
    <t>ER_A01_T001</t>
  </si>
  <si>
    <t>Ergo mockup points identified</t>
  </si>
  <si>
    <t>ER_A01_T002</t>
  </si>
  <si>
    <t>Gather Whole System Driver Load Data Points</t>
  </si>
  <si>
    <t>Liquid Loop Simulation Running</t>
  </si>
  <si>
    <t>ER_A01_T003</t>
  </si>
  <si>
    <t>Put Linpots on ARG26</t>
  </si>
  <si>
    <t>ER_A01_T004</t>
  </si>
  <si>
    <t>Get Driver Max Loads</t>
  </si>
  <si>
    <t>ER_A02_T001</t>
  </si>
  <si>
    <t>Rack and Pinion Decided</t>
  </si>
  <si>
    <t>ER_A02_T002</t>
  </si>
  <si>
    <t>Insert Steering column</t>
  </si>
  <si>
    <t>ER_A03_T001</t>
  </si>
  <si>
    <t>Pedal Ajustability Decided</t>
  </si>
  <si>
    <t>ER_A03_T002</t>
  </si>
  <si>
    <t>Insert pedals</t>
  </si>
  <si>
    <t>ER_A03_T003</t>
  </si>
  <si>
    <t>Determine Lockup force</t>
  </si>
  <si>
    <t>ER_A03_T004</t>
  </si>
  <si>
    <t>Finalize Tire Choice</t>
  </si>
  <si>
    <t>Order Tilton Prodcuts for pedals</t>
  </si>
  <si>
    <t>ER_A04_T001</t>
  </si>
  <si>
    <t>Drivers Molds Taken</t>
  </si>
  <si>
    <t>ER_A04_T002</t>
  </si>
  <si>
    <t>Driver Seat Scans in CAD</t>
  </si>
  <si>
    <t>ER_A04_T003</t>
  </si>
  <si>
    <t>Seat Upper Constraint Solution</t>
  </si>
  <si>
    <t>ER_A04_T004</t>
  </si>
  <si>
    <t>Make Plug for New Seat</t>
  </si>
  <si>
    <t>Recheck tire data</t>
  </si>
  <si>
    <t>ER_A04_T005</t>
  </si>
  <si>
    <t>Layup New Driver Seat</t>
  </si>
  <si>
    <t>ER_A05_T001</t>
  </si>
  <si>
    <t>Order Firewall/Backups</t>
  </si>
  <si>
    <t>ER_A05_T002</t>
  </si>
  <si>
    <t>Mount Firewall</t>
  </si>
  <si>
    <t>ER_A06_T001</t>
  </si>
  <si>
    <t>Mount Head Restraint</t>
  </si>
  <si>
    <t>ER_A06_T002</t>
  </si>
  <si>
    <t>Decide on mounting method of Head Restraint</t>
  </si>
  <si>
    <t>Points Finalized</t>
  </si>
  <si>
    <t>MO_A01_T001</t>
  </si>
  <si>
    <t>Ordering Composite Materials</t>
  </si>
  <si>
    <t>MO_A01_T002</t>
  </si>
  <si>
    <t>MO_A01_T003</t>
  </si>
  <si>
    <t>Select foam and plug manufacturing process</t>
  </si>
  <si>
    <t>Caroline Moskal</t>
  </si>
  <si>
    <t>MO_A01_T004</t>
  </si>
  <si>
    <t>Trial mold gel coat process</t>
  </si>
  <si>
    <t>MO_A01_T005</t>
  </si>
  <si>
    <t>Pre-process plug with Dolphin Glaze or selected filler</t>
  </si>
  <si>
    <t>MO_A01_T006</t>
  </si>
  <si>
    <t>Receive carbon materials</t>
  </si>
  <si>
    <t>Link Loads Finalized</t>
  </si>
  <si>
    <t>MO_A01_T007</t>
  </si>
  <si>
    <t>Print drilling and assembly jigs</t>
  </si>
  <si>
    <t>MO_A01_T008</t>
  </si>
  <si>
    <t>Cut Delrin jig rods</t>
  </si>
  <si>
    <t>MO_A01_T009</t>
  </si>
  <si>
    <t>Source all jigging materials for monocoque holes</t>
  </si>
  <si>
    <t>MO_A01_T010</t>
  </si>
  <si>
    <t>Order drill-bushing stock</t>
  </si>
  <si>
    <t>MO_A01_T011</t>
  </si>
  <si>
    <t>Drill monocoque holes using jigs</t>
  </si>
  <si>
    <t>MO_A01_T012</t>
  </si>
  <si>
    <t>Finish new-plug-to-post-process sequence</t>
  </si>
  <si>
    <t>MO_A01_T013</t>
  </si>
  <si>
    <t>Manufacture all drill bushings</t>
  </si>
  <si>
    <t>MO_A01_T014</t>
  </si>
  <si>
    <t>Prepare all materials for mold manufacturing</t>
  </si>
  <si>
    <t>MO_A01_T015</t>
  </si>
  <si>
    <t>Complete puck development</t>
  </si>
  <si>
    <t>Finalize ARB stifness</t>
  </si>
  <si>
    <t>MO_A01_T016</t>
  </si>
  <si>
    <t>Finish plug preparation</t>
  </si>
  <si>
    <t>MO_A01_T017</t>
  </si>
  <si>
    <t>Attempt wet-layup mold if ahead of schedule</t>
  </si>
  <si>
    <t>MO_A01_T018</t>
  </si>
  <si>
    <t>Release first mold</t>
  </si>
  <si>
    <t>MO_A01_T019</t>
  </si>
  <si>
    <t>Prepare everything required for mold layup</t>
  </si>
  <si>
    <t>MO_A01_T020</t>
  </si>
  <si>
    <t>Post-process molds</t>
  </si>
  <si>
    <t>MO_A01_T021</t>
  </si>
  <si>
    <t>Prepare molds, oven, carbon kits, and tooling for JanMan</t>
  </si>
  <si>
    <t>Finalize Rates</t>
  </si>
  <si>
    <t>MO_A01_T022</t>
  </si>
  <si>
    <t>Lay up first monocoque skin</t>
  </si>
  <si>
    <t>MO_A01_T023</t>
  </si>
  <si>
    <t>Complete first cure and oven cycle</t>
  </si>
  <si>
    <t>MO_A01_T024</t>
  </si>
  <si>
    <t>Install and bond core</t>
  </si>
  <si>
    <t>MO_A01_T025</t>
  </si>
  <si>
    <t>Lay up second monocoque skin</t>
  </si>
  <si>
    <t>MO_A01_T026</t>
  </si>
  <si>
    <t>Complete final cure</t>
  </si>
  <si>
    <t>MO_A01_T027</t>
  </si>
  <si>
    <t>Support powertrain integration</t>
  </si>
  <si>
    <t>Finalize WB, Front and Rear TWs, Ride Height, Weight Distribution, CG Height, Vehicle/Driver/Sprung Weights</t>
  </si>
  <si>
    <t>MO_A01_T028</t>
  </si>
  <si>
    <t>ANSYS 3 point bend test model</t>
  </si>
  <si>
    <t>MO_A01_T029</t>
  </si>
  <si>
    <t>ANSYS Twist Test</t>
  </si>
  <si>
    <t>MO_A01_T030</t>
  </si>
  <si>
    <t>Does this depend on driver selection?</t>
  </si>
  <si>
    <t>MO_A01_T031</t>
  </si>
  <si>
    <t>MO_A02_T001</t>
  </si>
  <si>
    <t>Finalize monocoque CAD with points</t>
  </si>
  <si>
    <t>MO_A02_T002</t>
  </si>
  <si>
    <t>Update new monocoque CAD geometry</t>
  </si>
  <si>
    <t>MO_A02_T003</t>
  </si>
  <si>
    <t>Lock monocoque CAD points</t>
  </si>
  <si>
    <t>Suspension Assembled on Car</t>
  </si>
  <si>
    <t>MO_A05_T001</t>
  </si>
  <si>
    <t>Ply Schedule Testing</t>
  </si>
  <si>
    <t>MO_A05_T002</t>
  </si>
  <si>
    <t>Consult professional about laminates</t>
  </si>
  <si>
    <t>MO_A05_T003</t>
  </si>
  <si>
    <t>Run ANSYS twist-test ply schedule study</t>
  </si>
  <si>
    <t>MO_A05_T004</t>
  </si>
  <si>
    <t>Analyze panel test results</t>
  </si>
  <si>
    <t>MO_A05_T005</t>
  </si>
  <si>
    <t>Complete additional test-panel round</t>
  </si>
  <si>
    <t>MO_A05_T006</t>
  </si>
  <si>
    <t>Complete SES work session</t>
  </si>
  <si>
    <t>Suspension PDR drafts done</t>
  </si>
  <si>
    <t>MO_A05_T007</t>
  </si>
  <si>
    <t>Continue test panels and SES documentation</t>
  </si>
  <si>
    <t>MO_A05_T008</t>
  </si>
  <si>
    <t>Lock final ply schedules</t>
  </si>
  <si>
    <t>MO_A05_T009</t>
  </si>
  <si>
    <t>Submit SES package</t>
  </si>
  <si>
    <t>MO_A05_T010</t>
  </si>
  <si>
    <t>Test Panel Jigs and Elastic Modulus</t>
  </si>
  <si>
    <t>SU_A01_T001</t>
  </si>
  <si>
    <t>Run ARG26 CG Test</t>
  </si>
  <si>
    <t>SU_A01_T002</t>
  </si>
  <si>
    <t>GRIND KINEMATIC POINTS</t>
  </si>
  <si>
    <t>SU_A01_T003</t>
  </si>
  <si>
    <t>Gather Design Necessary Car Data</t>
  </si>
  <si>
    <t>Finalize Suspension Weight Budget</t>
  </si>
  <si>
    <t>SU_A01_T004</t>
  </si>
  <si>
    <t>SU_A02_T001</t>
  </si>
  <si>
    <t>Links manufacturing</t>
  </si>
  <si>
    <t>SU_A02_T002</t>
  </si>
  <si>
    <t>Calculate Link Dimensions (Length, OD and Wall thickness)</t>
  </si>
  <si>
    <t>SU_A02_T003</t>
  </si>
  <si>
    <t>First Round CAD of links and adapters</t>
  </si>
  <si>
    <t>SU_A02_T004</t>
  </si>
  <si>
    <t>Optimize Upper Adapter Geometry</t>
  </si>
  <si>
    <t>SU_A02_T005</t>
  </si>
  <si>
    <t>Order rod ends, bearings, tube stock from McMaster</t>
  </si>
  <si>
    <t>SU_A02_T006</t>
  </si>
  <si>
    <t>Order adapters from ZTL</t>
  </si>
  <si>
    <t>SU_A02_T007</t>
  </si>
  <si>
    <t>Machine Inserts</t>
  </si>
  <si>
    <t>SU_A02_T008</t>
  </si>
  <si>
    <t>Manufacture push links for strain gauge installation as well as spares</t>
  </si>
  <si>
    <t>Ready to Analyze and Interpret Car Data</t>
  </si>
  <si>
    <t>SU_A03_T001</t>
  </si>
  <si>
    <t>Clevises manufacturing</t>
  </si>
  <si>
    <t>SU_A03_T002</t>
  </si>
  <si>
    <t>Devcon Clevises</t>
  </si>
  <si>
    <t>SU_A04_T001</t>
  </si>
  <si>
    <t>Rockers outsourced</t>
  </si>
  <si>
    <t>Compile list of ARG26 sensors and how interpret</t>
  </si>
  <si>
    <t>SU_A05_T001</t>
  </si>
  <si>
    <t>Lock down ARB architecture</t>
  </si>
  <si>
    <t>SU_A05_T002</t>
  </si>
  <si>
    <t>First ARB CAD pass</t>
  </si>
  <si>
    <t>SU_A05_T003</t>
  </si>
  <si>
    <t>Refine torsion bar sizing, Optimise blade geometry, Validate stiffness targets</t>
  </si>
  <si>
    <t>SU_A05_T004</t>
  </si>
  <si>
    <t>Design ARB Mounts and Adapters</t>
  </si>
  <si>
    <t>SU_A05_T005</t>
  </si>
  <si>
    <t>ARB CAD Freeze</t>
  </si>
  <si>
    <t>SU_A05_T006</t>
  </si>
  <si>
    <t>Place orders for outsourced ARB components</t>
  </si>
  <si>
    <t>SU_A05_T007</t>
  </si>
  <si>
    <t>Manufacture 50% of in-house ARB components</t>
  </si>
  <si>
    <t>SU_A05_T008</t>
  </si>
  <si>
    <t>Finalize Drivers</t>
  </si>
  <si>
    <t>Complete remaining ARB machining</t>
  </si>
  <si>
    <t>SU_A05_T009</t>
  </si>
  <si>
    <t>Assemble complete ARB</t>
  </si>
  <si>
    <t>SU_A05_T010</t>
  </si>
  <si>
    <t>Integrate ARB onto chassis with other suspension components</t>
  </si>
  <si>
    <t>BU_A01_T001</t>
  </si>
  <si>
    <t>Professonally Wrap Car</t>
  </si>
  <si>
    <t>BU_A01_T003</t>
  </si>
  <si>
    <t>Finalize Comp Documents</t>
  </si>
  <si>
    <t>BU_A02_T001</t>
  </si>
  <si>
    <t>Publish Purchasing sheet</t>
  </si>
  <si>
    <t>BU_A03_T001</t>
  </si>
  <si>
    <t>Upperclassmen Delibs 1</t>
  </si>
  <si>
    <t>ARG26 VD Working and Tunable</t>
  </si>
  <si>
    <t>BU_A03_T002</t>
  </si>
  <si>
    <t>Upperclassmen interviews</t>
  </si>
  <si>
    <t>BU_A03_T003</t>
  </si>
  <si>
    <t>Project Team Fest</t>
  </si>
  <si>
    <t>BU_A03_T004</t>
  </si>
  <si>
    <t>Info Session 1</t>
  </si>
  <si>
    <t>BU_A03_T005</t>
  </si>
  <si>
    <t>Info Session 2</t>
  </si>
  <si>
    <t>BU_A03_T006</t>
  </si>
  <si>
    <t>Info Session 3</t>
  </si>
  <si>
    <t>BU_A03_T007</t>
  </si>
  <si>
    <t>Info Session 4</t>
  </si>
  <si>
    <t>BU_A03_T008</t>
  </si>
  <si>
    <t>First Year Delibs 1</t>
  </si>
  <si>
    <t>BU_A03_T009</t>
  </si>
  <si>
    <t>Upperclassmen Final Delibs</t>
  </si>
  <si>
    <t>BU_A03_T010</t>
  </si>
  <si>
    <t>First Year Interviews</t>
  </si>
  <si>
    <t>BU_A03_T011</t>
  </si>
  <si>
    <t>First Year Final Delibs</t>
  </si>
  <si>
    <t>Finalize composite TB container ply schedule per SES</t>
  </si>
  <si>
    <t>BU_A06_T001</t>
  </si>
  <si>
    <t>Finalize website</t>
  </si>
  <si>
    <t>Tractive Battery electrical architechture finalized</t>
  </si>
  <si>
    <t>Laser Welder Installed in Autolab</t>
  </si>
  <si>
    <t>Tractive Battery + Inverter Packaging finalized</t>
  </si>
  <si>
    <t>Nicholas Gavalas</t>
  </si>
  <si>
    <t>Pack active cooling math finalized</t>
  </si>
  <si>
    <t>Module Discharge Rig Assembled</t>
  </si>
  <si>
    <t>Active cooling validated with module discharge rig</t>
  </si>
  <si>
    <t>Tractive Battery Modules + Container SES done</t>
  </si>
  <si>
    <t>Order Carbon for Monocoque</t>
  </si>
  <si>
    <t>All Monocoque Material Ordered</t>
  </si>
  <si>
    <t>Have All Carbon (latest)</t>
  </si>
  <si>
    <t>Update and lock CAD drill point (MAY CHANGE)</t>
  </si>
  <si>
    <t>dependent on susp and other subteams</t>
  </si>
  <si>
    <t>Holes Drilled into Plug</t>
  </si>
  <si>
    <t>Plug Post Processed</t>
  </si>
  <si>
    <t>Finish releasing one mold</t>
  </si>
  <si>
    <t>ARG26 First Drive</t>
  </si>
  <si>
    <t>Ply schedules FROZEN</t>
  </si>
  <si>
    <t>SES Submitted</t>
  </si>
  <si>
    <t>Monocoque Drop</t>
  </si>
  <si>
    <t>Will Hutter</t>
  </si>
  <si>
    <t>Sensors and Compute Ordered</t>
  </si>
  <si>
    <t>ARG27 Second Drive</t>
  </si>
  <si>
    <t>Fully rules compliant car</t>
  </si>
  <si>
    <t>CFD Freeze</t>
  </si>
  <si>
    <t>Plugs and Tooling Made</t>
  </si>
  <si>
    <t>Mounted to car</t>
  </si>
  <si>
    <t>Ergo Points Finalized</t>
  </si>
  <si>
    <t>Altium library groundwork finished</t>
  </si>
  <si>
    <t>First revs schematics done</t>
  </si>
  <si>
    <t>First revs layout done</t>
  </si>
  <si>
    <t>First revs ordered</t>
  </si>
  <si>
    <t>First revs tested</t>
  </si>
  <si>
    <t>Precharge tested in loop</t>
  </si>
  <si>
    <t>BMS Children LV/HV tested</t>
  </si>
  <si>
    <t>BMS Children integrated onto modules</t>
  </si>
  <si>
    <t>Shutdown circuit closed</t>
  </si>
  <si>
    <t>LV Harness ICDs finished</t>
  </si>
  <si>
    <t>Enclosures finalized</t>
  </si>
  <si>
    <t>depends on cad freeze?</t>
  </si>
  <si>
    <t>Power budget estimated</t>
  </si>
  <si>
    <t>LV Harness Sensors finalized</t>
  </si>
  <si>
    <t>Steering System Components Ordered</t>
  </si>
  <si>
    <t>All Driver Loads Redefined</t>
  </si>
  <si>
    <t>Mock Endurance ARG26</t>
  </si>
  <si>
    <t>Full-system Cooling validation during mock endurance</t>
  </si>
  <si>
    <t>GE_M001</t>
  </si>
  <si>
    <t>CH_M001</t>
  </si>
  <si>
    <t>GE_M002</t>
  </si>
  <si>
    <t>GE_M003</t>
  </si>
  <si>
    <t>Liquid Loop Installed on Car</t>
  </si>
  <si>
    <t>GE_M004</t>
  </si>
  <si>
    <t>GE_M005</t>
  </si>
  <si>
    <t>GE_M006</t>
  </si>
  <si>
    <t>PT_M002</t>
  </si>
  <si>
    <t>Final liquid loop assembled and integrated onto vehicle</t>
  </si>
  <si>
    <t>GE_M007</t>
  </si>
  <si>
    <t>Mock Cockpit Template Passed</t>
  </si>
  <si>
    <t>CH_M002</t>
  </si>
  <si>
    <t>High-level validation of completed cockpit/ergonomics package</t>
  </si>
  <si>
    <t>HV_M002</t>
  </si>
  <si>
    <t>HV_M003</t>
  </si>
  <si>
    <t>HV_M004</t>
  </si>
  <si>
    <t>HV_M005</t>
  </si>
  <si>
    <t>AU_M001</t>
  </si>
  <si>
    <t>AU_M002</t>
  </si>
  <si>
    <t>AU_M003</t>
  </si>
  <si>
    <t>ARG26 VD Fully Tested</t>
  </si>
  <si>
    <t>AU_M004</t>
  </si>
  <si>
    <t>AU_M005</t>
  </si>
  <si>
    <t>AU_M006</t>
  </si>
  <si>
    <t>CO_M001</t>
  </si>
  <si>
    <t>CO_M002</t>
  </si>
  <si>
    <t>Due date is ADR; high-level validation of active vehicle dynamics controls</t>
  </si>
  <si>
    <t>CO_M003</t>
  </si>
  <si>
    <t>CO_M004</t>
  </si>
  <si>
    <t>CO_M005</t>
  </si>
  <si>
    <t>CO_M006</t>
  </si>
  <si>
    <t>CO_M007</t>
  </si>
  <si>
    <t>CO_M008</t>
  </si>
  <si>
    <t>CO_M009</t>
  </si>
  <si>
    <t>CO_M010</t>
  </si>
  <si>
    <t>BMS Code Validated</t>
  </si>
  <si>
    <t>CO_M011</t>
  </si>
  <si>
    <t>SU_M001</t>
  </si>
  <si>
    <t>SU_M002</t>
  </si>
  <si>
    <t>SU_M003</t>
  </si>
  <si>
    <t>SU_M004</t>
  </si>
  <si>
    <t>High-level validation milestone for BMS firmware</t>
  </si>
  <si>
    <t>SU_M005</t>
  </si>
  <si>
    <t>SU_M006</t>
  </si>
  <si>
    <t>SU_M007</t>
  </si>
  <si>
    <t>SU_M008</t>
  </si>
  <si>
    <t>SU_M009</t>
  </si>
  <si>
    <t>Molds Complete and SES Submission Confirmed</t>
  </si>
  <si>
    <t>HV_M006</t>
  </si>
  <si>
    <t>HV_M007</t>
  </si>
  <si>
    <t>HV_M008</t>
  </si>
  <si>
    <t>HV_M009</t>
  </si>
  <si>
    <t>Major tooling/SES readiness milestone</t>
  </si>
  <si>
    <t>HV_M010</t>
  </si>
  <si>
    <t>HV_M011</t>
  </si>
  <si>
    <t>HV_M012</t>
  </si>
  <si>
    <t>HV_M013</t>
  </si>
  <si>
    <t>MO_M001</t>
  </si>
  <si>
    <t>MO_M002</t>
  </si>
  <si>
    <t>MO_M003</t>
  </si>
  <si>
    <t>MO_M004</t>
  </si>
  <si>
    <t>Monocoque Released from Molds</t>
  </si>
  <si>
    <t>MO_M007</t>
  </si>
  <si>
    <t>MO_M008</t>
  </si>
  <si>
    <t>Completed manufactured monocoque released from tooling</t>
  </si>
  <si>
    <t>MO_M010</t>
  </si>
  <si>
    <t>AU_M007</t>
  </si>
  <si>
    <t>GE_M011</t>
  </si>
  <si>
    <t>GE_M012</t>
  </si>
  <si>
    <t>Chassis Integration Complete</t>
  </si>
  <si>
    <t>ER_M001</t>
  </si>
  <si>
    <t>Chassis integration complete</t>
  </si>
  <si>
    <t>LV_M002</t>
  </si>
  <si>
    <t>LV_M003</t>
  </si>
  <si>
    <t>LV_M004</t>
  </si>
  <si>
    <t>LV_M005</t>
  </si>
  <si>
    <t>LV_M006</t>
  </si>
  <si>
    <t>LV_M007</t>
  </si>
  <si>
    <t>LV_M008</t>
  </si>
  <si>
    <t>Rolling Chassis</t>
  </si>
  <si>
    <t>LV_M009</t>
  </si>
  <si>
    <t>LV_M010</t>
  </si>
  <si>
    <t>LV_M011</t>
  </si>
  <si>
    <t>Tentative; timing may depend on another subteam</t>
  </si>
  <si>
    <t>LV_M012</t>
  </si>
  <si>
    <t>LV_M013</t>
  </si>
  <si>
    <t>ER_M002</t>
  </si>
  <si>
    <t>ER_M003</t>
  </si>
  <si>
    <t>CO_M012</t>
  </si>
  <si>
    <t>CO_M013</t>
  </si>
  <si>
    <t>ER_M004</t>
  </si>
  <si>
    <t>FW_M002</t>
  </si>
  <si>
    <t>MO_M011</t>
  </si>
  <si>
    <t>MO_M012</t>
  </si>
  <si>
    <t>MO_M013</t>
  </si>
  <si>
    <t>Vehicle achieves first drive</t>
  </si>
  <si>
    <t>MO_M014</t>
  </si>
  <si>
    <t>MO_M015</t>
  </si>
  <si>
    <t>SU_M011</t>
  </si>
  <si>
    <t>First Suspension Assembly</t>
  </si>
  <si>
    <t>BU_M001</t>
  </si>
  <si>
    <t>Upperclassman Apps Due</t>
  </si>
  <si>
    <t>BU_M002</t>
  </si>
  <si>
    <t>Upperclassman Offer</t>
  </si>
  <si>
    <t>BU_M003</t>
  </si>
  <si>
    <t>First Year Offer</t>
  </si>
  <si>
    <t>GE_M013</t>
  </si>
  <si>
    <t>Autolab Clean Up</t>
  </si>
  <si>
    <t>8/</t>
  </si>
  <si>
    <t/>
  </si>
  <si>
    <t>Major subteam-level milestone representing first complete suspension assembly</t>
  </si>
  <si>
    <t>Arielle Huang</t>
  </si>
  <si>
    <t>Ilana Yousuf</t>
  </si>
  <si>
    <t>Sam Hunter</t>
  </si>
  <si>
    <t>PCB ordered</t>
  </si>
  <si>
    <t>Test report/results + required modifications</t>
  </si>
  <si>
    <t>Dependent on LV006, couldn't select it</t>
  </si>
  <si>
    <t>Functional basic BSM system</t>
  </si>
  <si>
    <t>Timeline dependent on LV007, couldn't select it. Also Natsu is a co-owner, couldn't add him.</t>
  </si>
  <si>
    <t>Dependent on LV008</t>
  </si>
  <si>
    <t>Functioning child board</t>
  </si>
  <si>
    <t>Dependent on LV009</t>
  </si>
  <si>
    <t>Working BMS system</t>
  </si>
  <si>
    <t>Dependent on LV010</t>
  </si>
  <si>
    <t>Usanbolor Amartuvshin</t>
  </si>
  <si>
    <t>Acc architecture finalized prerec</t>
  </si>
  <si>
    <t>Arielle Huang Valerie Shu</t>
  </si>
  <si>
    <t>Theresa Franklin</t>
  </si>
  <si>
    <t>Arielle Huang Nathaniel Su</t>
  </si>
  <si>
    <t>Amrita Talwar</t>
  </si>
  <si>
    <t>Arielle Huang Sean Li</t>
  </si>
  <si>
    <t>HV DCDC locked</t>
  </si>
  <si>
    <t>For PDU, depends on cooling</t>
  </si>
  <si>
    <t>Sean Li</t>
  </si>
  <si>
    <t>dependent on cooling pump/radiator/fan selection</t>
  </si>
  <si>
    <t>Teddy Duncker</t>
  </si>
  <si>
    <t>Nathaniel Su</t>
  </si>
  <si>
    <t>Yifan Li Keira Chen</t>
  </si>
  <si>
    <t>Kathryn Ainley-Zoll</t>
  </si>
  <si>
    <t>Keira Chen</t>
  </si>
  <si>
    <t>Aero components mounted and integrated</t>
  </si>
  <si>
    <t>Milestone/completion activity</t>
  </si>
  <si>
    <t>Manufactured aerodynamic components</t>
  </si>
  <si>
    <t>components arrive</t>
  </si>
  <si>
    <t>Finalized aerodynamic targets</t>
  </si>
  <si>
    <t>working Dash board</t>
  </si>
  <si>
    <t>Alumni outreach completed</t>
  </si>
  <si>
    <t>harness is complete</t>
  </si>
  <si>
    <t>Completed surface modeling training</t>
  </si>
  <si>
    <t>Finalized mounting design</t>
  </si>
  <si>
    <t>dash is on car and working</t>
  </si>
  <si>
    <t>spares are available</t>
  </si>
  <si>
    <t>Manufactured mounting hardware</t>
  </si>
  <si>
    <t>On-car aero testing results</t>
  </si>
  <si>
    <t>Completed training</t>
  </si>
  <si>
    <t>Sayee Edekar</t>
  </si>
  <si>
    <t>Not required</t>
  </si>
  <si>
    <t>Shadman Syed</t>
  </si>
  <si>
    <t>Lilly Varon</t>
  </si>
  <si>
    <t>Final airfoil selection</t>
  </si>
  <si>
    <t>Wing and undertray tooling</t>
  </si>
  <si>
    <t>Manufactured wings and undertray</t>
  </si>
  <si>
    <t>Xinyuan (Yolanda) Zhou</t>
  </si>
  <si>
    <t>Montserrat McCoy</t>
  </si>
  <si>
    <t>James King</t>
  </si>
  <si>
    <t>Aidan Moller</t>
  </si>
  <si>
    <t>subject to change depending on JanMan</t>
  </si>
  <si>
    <t>Benson Zhuo</t>
  </si>
  <si>
    <t>Junseok Kang</t>
  </si>
  <si>
    <t>Nosecone and sidepod plugs</t>
  </si>
  <si>
    <t>Manufactured nosecone and sidepod</t>
  </si>
  <si>
    <t>Cameron Harvey</t>
  </si>
  <si>
    <t>Emily Ng</t>
  </si>
  <si>
    <t>Yifan Li</t>
  </si>
  <si>
    <t>Ethan Gu</t>
  </si>
  <si>
    <t>Will depend on LiDAR delivery date</t>
  </si>
  <si>
    <t>Helen Laird</t>
  </si>
  <si>
    <t>Radiator location selected</t>
  </si>
  <si>
    <t>Katherine Collard</t>
  </si>
  <si>
    <t>Davis Rattanavijai</t>
  </si>
  <si>
    <t>Very very valuable information</t>
  </si>
  <si>
    <t>Documented foam/plug process and manufacturing location</t>
  </si>
  <si>
    <t>Decide in-house vs. Woodward and old vs. new plugs.</t>
  </si>
  <si>
    <t>Gel coat trial results</t>
  </si>
  <si>
    <t>Prepared plug surface</t>
  </si>
  <si>
    <t>Max lateral, longitudinal acceleration and more to come</t>
  </si>
  <si>
    <t>Carbon available for layups</t>
  </si>
  <si>
    <t>Printed jigs</t>
  </si>
  <si>
    <t>Cut Delrin rods</t>
  </si>
  <si>
    <t>Complete jigging material kit</t>
  </si>
  <si>
    <t>Drill-bushing stock ordered</t>
  </si>
  <si>
    <t>Monocoque holes drilled to jig</t>
  </si>
  <si>
    <t>Assumes continuous labor support.</t>
  </si>
  <si>
    <t>Post-processed plug</t>
  </si>
  <si>
    <t>Calendar indicates a 16-day duration.</t>
  </si>
  <si>
    <t>Daniel Wtorkowski</t>
  </si>
  <si>
    <t>Completed drill bushings</t>
  </si>
  <si>
    <t>Mold manufacturing material kit</t>
  </si>
  <si>
    <t>Puck design/manufacturing progress</t>
  </si>
  <si>
    <t>Calendar note is tentative.</t>
  </si>
  <si>
    <t>Plug ready for mold manufacture</t>
  </si>
  <si>
    <t>Optional wet-layup mold trial</t>
  </si>
  <si>
    <t>Stretch task; potentially both molds.</t>
  </si>
  <si>
    <t>First mold released</t>
  </si>
  <si>
    <t>Mold layup readiness sign-off</t>
  </si>
  <si>
    <t>Post-processed molds</t>
  </si>
  <si>
    <t>JanMan manufacturing readiness</t>
  </si>
  <si>
    <t>First skin laid up</t>
  </si>
  <si>
    <t>First skin cured</t>
  </si>
  <si>
    <t>Core installed</t>
  </si>
  <si>
    <t>SES due date uncertainty noted on Jan. 12.</t>
  </si>
  <si>
    <t>Second skin laid up</t>
  </si>
  <si>
    <t>Monocoque fully cured</t>
  </si>
  <si>
    <t>Powertrain integration support complete</t>
  </si>
  <si>
    <t>model that can be easily tested for new data</t>
  </si>
  <si>
    <t>Validated ANSYS 3-point bend model/test plan</t>
  </si>
  <si>
    <t>Calendar note asks whether testing is complete.</t>
  </si>
  <si>
    <t>Completed 3-point bend simulation set</t>
  </si>
  <si>
    <t>Aarian Mepani</t>
  </si>
  <si>
    <t>Updated monocoque CAD</t>
  </si>
  <si>
    <t>Updated CAD geometry</t>
  </si>
  <si>
    <t>No-redesign schedule assumes geometry changes remain limited.</t>
  </si>
  <si>
    <t>Locked monocoque reference points</t>
  </si>
  <si>
    <t>Alice Jones</t>
  </si>
  <si>
    <t>Decide on ARB front and rear architecture</t>
  </si>
  <si>
    <t>Have an initial CAD assembly ready for PDR</t>
  </si>
  <si>
    <t>Straight After FDR</t>
  </si>
  <si>
    <t>Material testing guidance and action items</t>
  </si>
  <si>
    <t>Twist-test ply schedule results</t>
  </si>
  <si>
    <t>Analyzed panel results and recommendations</t>
  </si>
  <si>
    <t>Additional panel test results</t>
  </si>
  <si>
    <t>Calendar notes another panel round; one-week window assumed.</t>
  </si>
  <si>
    <t>Updated SES package</t>
  </si>
  <si>
    <t>Updated SES test evidence</t>
  </si>
  <si>
    <t>Released ply schedule</t>
  </si>
  <si>
    <t>Submitted SES package</t>
  </si>
  <si>
    <t>1. Have 3 pt bending jig 2. Have an elastic modulus tested thats rules compliant 3. test T1100 4. Other testing jigs (1-2 must be done)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</si>
</sst>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yyyy-mm-dd"/>
    <numFmt numFmtId="166" formatCode="M/d/yyyy"/>
    <numFmt numFmtId="167" formatCode="m/d/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Proxima Nova"/>
    </font>
    <font>
      <b/>
      <color theme="1"/>
      <name val="Proxima Nova"/>
    </font>
    <font>
      <b/>
      <color theme="1"/>
      <name val="Arial"/>
    </font>
    <font>
      <u/>
      <color theme="1"/>
      <name val="Proxima Nova"/>
    </font>
    <font>
      <u/>
      <color theme="1"/>
      <name val="Proxima Nova"/>
    </font>
    <font>
      <color rgb="FF434343"/>
      <name val="Proxima Nova"/>
    </font>
    <font>
      <u/>
      <color theme="1"/>
      <name val="Proxima Nova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E1CD"/>
        <bgColor rgb="FFB7E1CD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Font="1"/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0" fontId="2" numFmtId="166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166" xfId="0" applyFont="1" applyNumberForma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vertical="bottom"/>
    </xf>
    <xf borderId="0" fillId="0" fontId="1" numFmtId="0" xfId="0" applyFont="1"/>
    <xf borderId="0" fillId="0" fontId="1" numFmtId="166" xfId="0" applyFont="1" applyNumberFormat="1"/>
    <xf borderId="0" fillId="2" fontId="2" numFmtId="0" xfId="0" applyAlignment="1" applyFill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5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2" numFmtId="49" xfId="0" applyAlignment="1" applyFill="1" applyFont="1" applyNumberForma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3" fontId="2" numFmtId="166" xfId="0" applyAlignment="1" applyFill="1" applyFont="1" applyNumberForma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3" fontId="6" numFmtId="49" xfId="0" applyAlignment="1" applyFill="1" applyFont="1" applyNumberForma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3" fontId="2" numFmtId="49" xfId="0" applyAlignment="1" applyFill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49" xfId="0" applyFont="1" applyNumberFormat="1"/>
    <xf borderId="0" fillId="0" fontId="7" numFmtId="0" xfId="0" applyAlignment="1" applyFont="1">
      <alignment horizontal="left" readingOrder="0" shrinkToFit="0" vertical="center" wrapText="1"/>
    </xf>
    <xf borderId="0" fillId="4" fontId="7" numFmtId="49" xfId="0" applyAlignment="1" applyFill="1" applyFont="1" applyNumberFormat="1">
      <alignment shrinkToFit="0" vertical="center" wrapText="1"/>
    </xf>
    <xf borderId="1" fillId="5" fontId="7" numFmtId="49" xfId="0" applyAlignment="1" applyBorder="1" applyFill="1" applyFont="1" applyNumberFormat="1">
      <alignment shrinkToFit="0" vertical="center" wrapText="1"/>
    </xf>
    <xf borderId="2" fillId="4" fontId="7" numFmtId="49" xfId="0" applyAlignment="1" applyBorder="1" applyFill="1" applyFont="1" applyNumberFormat="1">
      <alignment shrinkToFit="0" vertical="center" wrapText="1"/>
    </xf>
    <xf borderId="1" fillId="0" fontId="7" numFmtId="49" xfId="0" applyAlignment="1" applyBorder="1" applyFont="1" applyNumberFormat="1">
      <alignment readingOrder="0" shrinkToFit="0" vertical="center" wrapText="1"/>
    </xf>
    <xf borderId="0" fillId="0" fontId="2" numFmtId="167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6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shrinkToFit="0" wrapText="1"/>
    </xf>
    <xf borderId="0" fillId="3" fontId="2" numFmtId="166" xfId="0" applyAlignment="1" applyFill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0" fontId="8" numFmtId="49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3" fontId="2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36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D8DBDE"/>
          <bgColor rgb="FFD8DBDE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EED1CE"/>
          <bgColor rgb="FFEED1CE"/>
        </patternFill>
      </fill>
      <border/>
    </dxf>
    <dxf>
      <font/>
      <fill>
        <patternFill patternType="solid">
          <fgColor rgb="FFA1E2A0"/>
          <bgColor rgb="FFA1E2A0"/>
        </patternFill>
      </fill>
      <border/>
    </dxf>
    <dxf>
      <font/>
      <fill>
        <patternFill patternType="solid">
          <fgColor rgb="FFFFF48E"/>
          <bgColor rgb="FFFFF48E"/>
        </patternFill>
      </fill>
      <border/>
    </dxf>
    <dxf>
      <font/>
      <fill>
        <patternFill patternType="solid">
          <fgColor rgb="FFFF917D"/>
          <bgColor rgb="FFFF917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A2DCFF"/>
          <bgColor rgb="FFA2DCF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DC6F01"/>
          <bgColor rgb="FFDC6F01"/>
        </patternFill>
      </fill>
      <border/>
    </dxf>
    <dxf>
      <font/>
      <fill>
        <patternFill patternType="solid">
          <fgColor rgb="FFF6DBC0"/>
          <bgColor rgb="FFF6DBC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F6D9"/>
          <bgColor rgb="FFFFF6D9"/>
        </patternFill>
      </fill>
      <border/>
    </dxf>
    <dxf>
      <font/>
      <fill>
        <patternFill patternType="solid">
          <fgColor rgb="FFFFF78D"/>
          <bgColor rgb="FFFFF78D"/>
        </patternFill>
      </fill>
      <border/>
    </dxf>
    <dxf>
      <font/>
      <fill>
        <patternFill patternType="solid">
          <fgColor rgb="FFFFFDE3"/>
          <bgColor rgb="FFFFFDE3"/>
        </patternFill>
      </fill>
      <border/>
    </dxf>
    <dxf>
      <font/>
      <fill>
        <patternFill patternType="solid">
          <fgColor rgb="FFB38B6E"/>
          <bgColor rgb="FFB38B6E"/>
        </patternFill>
      </fill>
      <border/>
    </dxf>
    <dxf>
      <font/>
      <fill>
        <patternFill patternType="solid">
          <fgColor rgb="FFECE2DB"/>
          <bgColor rgb="FFECE2DB"/>
        </patternFill>
      </fill>
      <border/>
    </dxf>
    <dxf>
      <font/>
      <fill>
        <patternFill patternType="solid">
          <fgColor rgb="FF49BE7A"/>
          <bgColor rgb="FF49BE7A"/>
        </patternFill>
      </fill>
      <border/>
    </dxf>
    <dxf>
      <font/>
      <fill>
        <patternFill patternType="solid">
          <fgColor rgb="FFD2EFDE"/>
          <bgColor rgb="FFD2EFDE"/>
        </patternFill>
      </fill>
      <border/>
    </dxf>
    <dxf>
      <font/>
      <fill>
        <patternFill patternType="solid">
          <fgColor rgb="FF58B7AE"/>
          <bgColor rgb="FF58B7AE"/>
        </patternFill>
      </fill>
      <border/>
    </dxf>
    <dxf>
      <font/>
      <fill>
        <patternFill patternType="solid">
          <fgColor rgb="FFD5EDEB"/>
          <bgColor rgb="FFD5EDEB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D4D7F0"/>
          <bgColor rgb="FFD4D7F0"/>
        </patternFill>
      </fill>
      <border/>
    </dxf>
    <dxf>
      <font/>
      <fill>
        <patternFill patternType="solid">
          <fgColor rgb="FF5987B0"/>
          <bgColor rgb="FF5987B0"/>
        </patternFill>
      </fill>
      <border/>
    </dxf>
    <dxf>
      <font/>
      <fill>
        <patternFill patternType="solid">
          <fgColor rgb="FFD6E1EB"/>
          <bgColor rgb="FFD6E1EB"/>
        </patternFill>
      </fill>
      <border/>
    </dxf>
    <dxf>
      <font/>
      <fill>
        <patternFill patternType="solid">
          <fgColor rgb="FF8767B3"/>
          <bgColor rgb="FF8767B3"/>
        </patternFill>
      </fill>
      <border/>
    </dxf>
    <dxf>
      <font/>
      <fill>
        <patternFill patternType="solid">
          <fgColor rgb="FFE1D9EC"/>
          <bgColor rgb="FFE1D9EC"/>
        </patternFill>
      </fill>
      <border/>
    </dxf>
    <dxf>
      <font/>
      <fill>
        <patternFill patternType="solid">
          <fgColor rgb="FFB23B72"/>
          <bgColor rgb="FFB23B72"/>
        </patternFill>
      </fill>
      <border/>
    </dxf>
    <dxf>
      <font/>
      <fill>
        <patternFill patternType="solid">
          <fgColor rgb="FFECCEDC"/>
          <bgColor rgb="FFECCEDC"/>
        </patternFill>
      </fill>
      <border/>
    </dxf>
  </dxfs>
  <tableStyles count="85">
    <tableStyle count="4" pivot="0" name="Go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leston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5" pivot="0" name="GE Tasks-style">
      <tableStyleElement dxfId="6" type="headerRow"/>
      <tableStyleElement dxfId="2" type="firstRowStripe"/>
      <tableStyleElement dxfId="3" type="secondRowStripe"/>
      <tableStyleElement dxfId="7" type="totalRow"/>
      <tableStyleElement dxfId="4" size="0" type="wholeTable"/>
    </tableStyle>
    <tableStyle count="5" pivot="0" name="GE Tasks-style 2">
      <tableStyleElement dxfId="6" type="headerRow"/>
      <tableStyleElement dxfId="2" type="firstRowStripe"/>
      <tableStyleElement dxfId="3" type="secondRowStripe"/>
      <tableStyleElement dxfId="7" type="totalRow"/>
      <tableStyleElement dxfId="4" size="0" type="wholeTable"/>
    </tableStyle>
    <tableStyle count="5" pivot="0" name="GE Tasks-style 3">
      <tableStyleElement dxfId="6" type="headerRow"/>
      <tableStyleElement dxfId="2" type="firstRowStripe"/>
      <tableStyleElement dxfId="3" type="secondRowStripe"/>
      <tableStyleElement dxfId="7" type="totalRow"/>
      <tableStyleElement dxfId="4" size="0" type="wholeTable"/>
    </tableStyle>
    <tableStyle count="5" pivot="0" name="HV Tasks-style">
      <tableStyleElement dxfId="8" type="headerRow"/>
      <tableStyleElement dxfId="2" type="firstRowStripe"/>
      <tableStyleElement dxfId="3" type="secondRowStripe"/>
      <tableStyleElement dxfId="9" type="totalRow"/>
      <tableStyleElement dxfId="4" size="0" type="wholeTable"/>
    </tableStyle>
    <tableStyle count="5" pivot="0" name="HV Tasks-style 2">
      <tableStyleElement dxfId="8" type="headerRow"/>
      <tableStyleElement dxfId="2" type="firstRowStripe"/>
      <tableStyleElement dxfId="3" type="secondRowStripe"/>
      <tableStyleElement dxfId="9" type="totalRow"/>
      <tableStyleElement dxfId="4" size="0" type="wholeTable"/>
    </tableStyle>
    <tableStyle count="5" pivot="0" name="HV Tasks-style 3">
      <tableStyleElement dxfId="8" type="headerRow"/>
      <tableStyleElement dxfId="2" type="firstRowStripe"/>
      <tableStyleElement dxfId="3" type="secondRowStripe"/>
      <tableStyleElement dxfId="9" type="totalRow"/>
      <tableStyleElement dxfId="4" size="0" type="wholeTable"/>
    </tableStyle>
    <tableStyle count="5" pivot="0" name="HV Tasks-style 4">
      <tableStyleElement dxfId="8" type="headerRow"/>
      <tableStyleElement dxfId="2" type="firstRowStripe"/>
      <tableStyleElement dxfId="3" type="secondRowStripe"/>
      <tableStyleElement dxfId="9" type="totalRow"/>
      <tableStyleElement dxfId="4" size="0" type="wholeTable"/>
    </tableStyle>
    <tableStyle count="5" pivot="0" name="HV Tasks-style 5">
      <tableStyleElement dxfId="8" type="headerRow"/>
      <tableStyleElement dxfId="2" type="firstRowStripe"/>
      <tableStyleElement dxfId="3" type="secondRowStripe"/>
      <tableStyleElement dxfId="9" type="totalRow"/>
      <tableStyleElement dxfId="4" size="0" type="wholeTable"/>
    </tableStyle>
    <tableStyle count="5" pivot="0" name="HV Tasks-style 6">
      <tableStyleElement dxfId="8" type="headerRow"/>
      <tableStyleElement dxfId="2" type="firstRowStripe"/>
      <tableStyleElement dxfId="3" type="secondRowStripe"/>
      <tableStyleElement dxfId="9" type="totalRow"/>
      <tableStyleElement dxfId="4" size="0" type="wholeTable"/>
    </tableStyle>
    <tableStyle count="5" pivot="0" name="HV Tasks-style 7">
      <tableStyleElement dxfId="8" type="headerRow"/>
      <tableStyleElement dxfId="2" type="firstRowStripe"/>
      <tableStyleElement dxfId="3" type="secondRowStripe"/>
      <tableStyleElement dxfId="9" type="totalRow"/>
      <tableStyleElement dxfId="4" size="0" type="wholeTable"/>
    </tableStyle>
    <tableStyle count="5" pivot="0" name="HV Tasks-style 8">
      <tableStyleElement dxfId="8" type="headerRow"/>
      <tableStyleElement dxfId="2" type="firstRowStripe"/>
      <tableStyleElement dxfId="3" type="secondRowStripe"/>
      <tableStyleElement dxfId="9" type="totalRow"/>
      <tableStyleElement dxfId="4" size="0" type="wholeTable"/>
    </tableStyle>
    <tableStyle count="5" pivot="0" name="HV Tasks-style 9">
      <tableStyleElement dxfId="8" type="headerRow"/>
      <tableStyleElement dxfId="2" type="firstRowStripe"/>
      <tableStyleElement dxfId="3" type="secondRowStripe"/>
      <tableStyleElement dxfId="9" type="totalRow"/>
      <tableStyleElement dxfId="4" size="0" type="wholeTable"/>
    </tableStyle>
    <tableStyle count="5" pivot="0" name="LV Tasks-style">
      <tableStyleElement dxfId="16" type="headerRow"/>
      <tableStyleElement dxfId="2" type="firstRowStripe"/>
      <tableStyleElement dxfId="3" type="secondRowStripe"/>
      <tableStyleElement dxfId="17" type="totalRow"/>
      <tableStyleElement dxfId="4" size="0" type="wholeTable"/>
    </tableStyle>
    <tableStyle count="5" pivot="0" name="LV Tasks-style 2">
      <tableStyleElement dxfId="16" type="headerRow"/>
      <tableStyleElement dxfId="2" type="firstRowStripe"/>
      <tableStyleElement dxfId="3" type="secondRowStripe"/>
      <tableStyleElement dxfId="17" type="totalRow"/>
      <tableStyleElement dxfId="4" size="0" type="wholeTable"/>
    </tableStyle>
    <tableStyle count="5" pivot="0" name="LV Tasks-style 3">
      <tableStyleElement dxfId="16" type="headerRow"/>
      <tableStyleElement dxfId="2" type="firstRowStripe"/>
      <tableStyleElement dxfId="3" type="secondRowStripe"/>
      <tableStyleElement dxfId="17" type="totalRow"/>
      <tableStyleElement dxfId="4" size="0" type="wholeTable"/>
    </tableStyle>
    <tableStyle count="5" pivot="0" name="LV Tasks-style 4">
      <tableStyleElement dxfId="16" type="headerRow"/>
      <tableStyleElement dxfId="2" type="firstRowStripe"/>
      <tableStyleElement dxfId="3" type="secondRowStripe"/>
      <tableStyleElement dxfId="17" type="totalRow"/>
      <tableStyleElement dxfId="4" size="0" type="wholeTable"/>
    </tableStyle>
    <tableStyle count="5" pivot="0" name="LV Tasks-style 5">
      <tableStyleElement dxfId="16" type="headerRow"/>
      <tableStyleElement dxfId="2" type="firstRowStripe"/>
      <tableStyleElement dxfId="3" type="secondRowStripe"/>
      <tableStyleElement dxfId="17" type="totalRow"/>
      <tableStyleElement dxfId="4" size="0" type="wholeTable"/>
    </tableStyle>
    <tableStyle count="5" pivot="0" name="LV Tasks-style 6">
      <tableStyleElement dxfId="16" type="headerRow"/>
      <tableStyleElement dxfId="2" type="firstRowStripe"/>
      <tableStyleElement dxfId="3" type="secondRowStripe"/>
      <tableStyleElement dxfId="17" type="totalRow"/>
      <tableStyleElement dxfId="4" size="0" type="wholeTable"/>
    </tableStyle>
    <tableStyle count="5" pivot="0" name="LV Tasks-style 7">
      <tableStyleElement dxfId="16" type="headerRow"/>
      <tableStyleElement dxfId="2" type="firstRowStripe"/>
      <tableStyleElement dxfId="3" type="secondRowStripe"/>
      <tableStyleElement dxfId="17" type="totalRow"/>
      <tableStyleElement dxfId="4" size="0" type="wholeTable"/>
    </tableStyle>
    <tableStyle count="5" pivot="0" name="LV Tasks-style 8">
      <tableStyleElement dxfId="16" type="headerRow"/>
      <tableStyleElement dxfId="2" type="firstRowStripe"/>
      <tableStyleElement dxfId="3" type="secondRowStripe"/>
      <tableStyleElement dxfId="17" type="totalRow"/>
      <tableStyleElement dxfId="4" size="0" type="wholeTable"/>
    </tableStyle>
    <tableStyle count="5" pivot="0" name="LV Tasks-style 9">
      <tableStyleElement dxfId="16" type="headerRow"/>
      <tableStyleElement dxfId="2" type="firstRowStripe"/>
      <tableStyleElement dxfId="3" type="secondRowStripe"/>
      <tableStyleElement dxfId="17" type="totalRow"/>
      <tableStyleElement dxfId="4" size="0" type="wholeTable"/>
    </tableStyle>
    <tableStyle count="5" pivot="0" name="LV Tasks-style 10">
      <tableStyleElement dxfId="16" type="headerRow"/>
      <tableStyleElement dxfId="2" type="firstRowStripe"/>
      <tableStyleElement dxfId="3" type="secondRowStripe"/>
      <tableStyleElement dxfId="17" type="totalRow"/>
      <tableStyleElement dxfId="4" size="0" type="wholeTable"/>
    </tableStyle>
    <tableStyle count="5" pivot="0" name="CO Tasks-style">
      <tableStyleElement dxfId="18" type="headerRow"/>
      <tableStyleElement dxfId="2" type="firstRowStripe"/>
      <tableStyleElement dxfId="3" type="secondRowStripe"/>
      <tableStyleElement dxfId="19" type="totalRow"/>
      <tableStyleElement dxfId="4" size="0" type="wholeTable"/>
    </tableStyle>
    <tableStyle count="5" pivot="0" name="CO Tasks-style 2">
      <tableStyleElement dxfId="18" type="headerRow"/>
      <tableStyleElement dxfId="2" type="firstRowStripe"/>
      <tableStyleElement dxfId="3" type="secondRowStripe"/>
      <tableStyleElement dxfId="19" type="totalRow"/>
      <tableStyleElement dxfId="4" size="0" type="wholeTable"/>
    </tableStyle>
    <tableStyle count="5" pivot="0" name="CO Tasks-style 3">
      <tableStyleElement dxfId="18" type="headerRow"/>
      <tableStyleElement dxfId="2" type="firstRowStripe"/>
      <tableStyleElement dxfId="3" type="secondRowStripe"/>
      <tableStyleElement dxfId="19" type="totalRow"/>
      <tableStyleElement dxfId="4" size="0" type="wholeTable"/>
    </tableStyle>
    <tableStyle count="5" pivot="0" name="CO Tasks-style 4">
      <tableStyleElement dxfId="18" type="headerRow"/>
      <tableStyleElement dxfId="2" type="firstRowStripe"/>
      <tableStyleElement dxfId="3" type="secondRowStripe"/>
      <tableStyleElement dxfId="19" type="totalRow"/>
      <tableStyleElement dxfId="4" size="0" type="wholeTable"/>
    </tableStyle>
    <tableStyle count="5" pivot="0" name="CO Tasks-style 5">
      <tableStyleElement dxfId="18" type="headerRow"/>
      <tableStyleElement dxfId="2" type="firstRowStripe"/>
      <tableStyleElement dxfId="3" type="secondRowStripe"/>
      <tableStyleElement dxfId="19" type="totalRow"/>
      <tableStyleElement dxfId="4" size="0" type="wholeTable"/>
    </tableStyle>
    <tableStyle count="5" pivot="0" name="FW Tasks-style">
      <tableStyleElement dxfId="20" type="headerRow"/>
      <tableStyleElement dxfId="2" type="firstRowStripe"/>
      <tableStyleElement dxfId="3" type="secondRowStripe"/>
      <tableStyleElement dxfId="21" type="totalRow"/>
      <tableStyleElement dxfId="4" size="0" type="wholeTable"/>
    </tableStyle>
    <tableStyle count="5" pivot="0" name="FW Tasks-style 2">
      <tableStyleElement dxfId="20" type="headerRow"/>
      <tableStyleElement dxfId="2" type="firstRowStripe"/>
      <tableStyleElement dxfId="3" type="secondRowStripe"/>
      <tableStyleElement dxfId="21" type="totalRow"/>
      <tableStyleElement dxfId="4" size="0" type="wholeTable"/>
    </tableStyle>
    <tableStyle count="5" pivot="0" name="FW Tasks-style 3">
      <tableStyleElement dxfId="20" type="headerRow"/>
      <tableStyleElement dxfId="2" type="firstRowStripe"/>
      <tableStyleElement dxfId="3" type="secondRowStripe"/>
      <tableStyleElement dxfId="21" type="totalRow"/>
      <tableStyleElement dxfId="4" size="0" type="wholeTable"/>
    </tableStyle>
    <tableStyle count="5" pivot="0" name="FW Tasks-style 4">
      <tableStyleElement dxfId="20" type="headerRow"/>
      <tableStyleElement dxfId="2" type="firstRowStripe"/>
      <tableStyleElement dxfId="3" type="secondRowStripe"/>
      <tableStyleElement dxfId="21" type="totalRow"/>
      <tableStyleElement dxfId="4" size="0" type="wholeTable"/>
    </tableStyle>
    <tableStyle count="5" pivot="0" name="FW Tasks-style 5">
      <tableStyleElement dxfId="20" type="headerRow"/>
      <tableStyleElement dxfId="2" type="firstRowStripe"/>
      <tableStyleElement dxfId="3" type="secondRowStripe"/>
      <tableStyleElement dxfId="21" type="totalRow"/>
      <tableStyleElement dxfId="4" size="0" type="wholeTable"/>
    </tableStyle>
    <tableStyle count="5" pivot="0" name="FW Tasks-style 6">
      <tableStyleElement dxfId="20" type="headerRow"/>
      <tableStyleElement dxfId="2" type="firstRowStripe"/>
      <tableStyleElement dxfId="3" type="secondRowStripe"/>
      <tableStyleElement dxfId="21" type="totalRow"/>
      <tableStyleElement dxfId="4" size="0" type="wholeTable"/>
    </tableStyle>
    <tableStyle count="5" pivot="0" name="AU Tasks-style">
      <tableStyleElement dxfId="22" type="headerRow"/>
      <tableStyleElement dxfId="2" type="firstRowStripe"/>
      <tableStyleElement dxfId="3" type="secondRowStripe"/>
      <tableStyleElement dxfId="23" type="totalRow"/>
      <tableStyleElement dxfId="4" size="0" type="wholeTable"/>
    </tableStyle>
    <tableStyle count="5" pivot="0" name="AU Tasks-style 2">
      <tableStyleElement dxfId="22" type="headerRow"/>
      <tableStyleElement dxfId="2" type="firstRowStripe"/>
      <tableStyleElement dxfId="3" type="secondRowStripe"/>
      <tableStyleElement dxfId="23" type="totalRow"/>
      <tableStyleElement dxfId="4" size="0" type="wholeTable"/>
    </tableStyle>
    <tableStyle count="5" pivot="0" name="AU Tasks-style 3">
      <tableStyleElement dxfId="22" type="headerRow"/>
      <tableStyleElement dxfId="2" type="firstRowStripe"/>
      <tableStyleElement dxfId="3" type="secondRowStripe"/>
      <tableStyleElement dxfId="23" type="totalRow"/>
      <tableStyleElement dxfId="4" size="0" type="wholeTable"/>
    </tableStyle>
    <tableStyle count="5" pivot="0" name="AU Tasks-style 4">
      <tableStyleElement dxfId="22" type="headerRow"/>
      <tableStyleElement dxfId="2" type="firstRowStripe"/>
      <tableStyleElement dxfId="3" type="secondRowStripe"/>
      <tableStyleElement dxfId="23" type="totalRow"/>
      <tableStyleElement dxfId="4" size="0" type="wholeTable"/>
    </tableStyle>
    <tableStyle count="5" pivot="0" name="AU Tasks-style 5">
      <tableStyleElement dxfId="22" type="headerRow"/>
      <tableStyleElement dxfId="2" type="firstRowStripe"/>
      <tableStyleElement dxfId="3" type="secondRowStripe"/>
      <tableStyleElement dxfId="23" type="totalRow"/>
      <tableStyleElement dxfId="4" size="0" type="wholeTable"/>
    </tableStyle>
    <tableStyle count="5" pivot="0" name="AU Tasks-style 6">
      <tableStyleElement dxfId="22" type="headerRow"/>
      <tableStyleElement dxfId="2" type="firstRowStripe"/>
      <tableStyleElement dxfId="3" type="secondRowStripe"/>
      <tableStyleElement dxfId="23" type="totalRow"/>
      <tableStyleElement dxfId="4" size="0" type="wholeTable"/>
    </tableStyle>
    <tableStyle count="5" pivot="0" name="AU Tasks-style 7">
      <tableStyleElement dxfId="22" type="headerRow"/>
      <tableStyleElement dxfId="2" type="firstRowStripe"/>
      <tableStyleElement dxfId="3" type="secondRowStripe"/>
      <tableStyleElement dxfId="23" type="totalRow"/>
      <tableStyleElement dxfId="4" size="0" type="wholeTable"/>
    </tableStyle>
    <tableStyle count="5" pivot="0" name="AU Tasks-style 8">
      <tableStyleElement dxfId="22" type="headerRow"/>
      <tableStyleElement dxfId="2" type="firstRowStripe"/>
      <tableStyleElement dxfId="3" type="secondRowStripe"/>
      <tableStyleElement dxfId="23" type="totalRow"/>
      <tableStyleElement dxfId="4" size="0" type="wholeTable"/>
    </tableStyle>
    <tableStyle count="5" pivot="0" name="AE Tasks-style">
      <tableStyleElement dxfId="24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AE Tasks-style 2">
      <tableStyleElement dxfId="24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AE Tasks-style 3">
      <tableStyleElement dxfId="24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AE Tasks-style 4">
      <tableStyleElement dxfId="24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AE Tasks-style 5">
      <tableStyleElement dxfId="24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AE Tasks-style 6">
      <tableStyleElement dxfId="24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AE Tasks-style 7">
      <tableStyleElement dxfId="24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AE Tasks-style 8">
      <tableStyleElement dxfId="24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ER Tasks-style">
      <tableStyleElement dxfId="26" type="headerRow"/>
      <tableStyleElement dxfId="2" type="firstRowStripe"/>
      <tableStyleElement dxfId="3" type="secondRowStripe"/>
      <tableStyleElement dxfId="27" type="totalRow"/>
      <tableStyleElement dxfId="4" size="0" type="wholeTable"/>
    </tableStyle>
    <tableStyle count="5" pivot="0" name="ER Tasks-style 2">
      <tableStyleElement dxfId="26" type="headerRow"/>
      <tableStyleElement dxfId="2" type="firstRowStripe"/>
      <tableStyleElement dxfId="3" type="secondRowStripe"/>
      <tableStyleElement dxfId="27" type="totalRow"/>
      <tableStyleElement dxfId="4" size="0" type="wholeTable"/>
    </tableStyle>
    <tableStyle count="5" pivot="0" name="ER Tasks-style 3">
      <tableStyleElement dxfId="26" type="headerRow"/>
      <tableStyleElement dxfId="2" type="firstRowStripe"/>
      <tableStyleElement dxfId="3" type="secondRowStripe"/>
      <tableStyleElement dxfId="27" type="totalRow"/>
      <tableStyleElement dxfId="4" size="0" type="wholeTable"/>
    </tableStyle>
    <tableStyle count="5" pivot="0" name="ER Tasks-style 4">
      <tableStyleElement dxfId="26" type="headerRow"/>
      <tableStyleElement dxfId="2" type="firstRowStripe"/>
      <tableStyleElement dxfId="3" type="secondRowStripe"/>
      <tableStyleElement dxfId="27" type="totalRow"/>
      <tableStyleElement dxfId="4" size="0" type="wholeTable"/>
    </tableStyle>
    <tableStyle count="5" pivot="0" name="ER Tasks-style 5">
      <tableStyleElement dxfId="26" type="headerRow"/>
      <tableStyleElement dxfId="2" type="firstRowStripe"/>
      <tableStyleElement dxfId="3" type="secondRowStripe"/>
      <tableStyleElement dxfId="27" type="totalRow"/>
      <tableStyleElement dxfId="4" size="0" type="wholeTable"/>
    </tableStyle>
    <tableStyle count="5" pivot="0" name="ER Tasks-style 6">
      <tableStyleElement dxfId="26" type="headerRow"/>
      <tableStyleElement dxfId="2" type="firstRowStripe"/>
      <tableStyleElement dxfId="3" type="secondRowStripe"/>
      <tableStyleElement dxfId="27" type="totalRow"/>
      <tableStyleElement dxfId="4" size="0" type="wholeTable"/>
    </tableStyle>
    <tableStyle count="5" pivot="0" name="ER Tasks-style 7">
      <tableStyleElement dxfId="26" type="headerRow"/>
      <tableStyleElement dxfId="2" type="firstRowStripe"/>
      <tableStyleElement dxfId="3" type="secondRowStripe"/>
      <tableStyleElement dxfId="27" type="totalRow"/>
      <tableStyleElement dxfId="4" size="0" type="wholeTable"/>
    </tableStyle>
    <tableStyle count="5" pivot="0" name="ER Tasks-style 8">
      <tableStyleElement dxfId="26" type="headerRow"/>
      <tableStyleElement dxfId="2" type="firstRowStripe"/>
      <tableStyleElement dxfId="3" type="secondRowStripe"/>
      <tableStyleElement dxfId="27" type="totalRow"/>
      <tableStyleElement dxfId="4" size="0" type="wholeTable"/>
    </tableStyle>
    <tableStyle count="5" pivot="0" name="MO Tasks-style">
      <tableStyleElement dxfId="28" type="headerRow"/>
      <tableStyleElement dxfId="2" type="firstRowStripe"/>
      <tableStyleElement dxfId="3" type="secondRowStripe"/>
      <tableStyleElement dxfId="29" type="totalRow"/>
      <tableStyleElement dxfId="4" size="0" type="wholeTable"/>
    </tableStyle>
    <tableStyle count="5" pivot="0" name="MO Tasks-style 2">
      <tableStyleElement dxfId="28" type="headerRow"/>
      <tableStyleElement dxfId="2" type="firstRowStripe"/>
      <tableStyleElement dxfId="3" type="secondRowStripe"/>
      <tableStyleElement dxfId="29" type="totalRow"/>
      <tableStyleElement dxfId="4" size="0" type="wholeTable"/>
    </tableStyle>
    <tableStyle count="5" pivot="0" name="MO Tasks-style 3">
      <tableStyleElement dxfId="28" type="headerRow"/>
      <tableStyleElement dxfId="2" type="firstRowStripe"/>
      <tableStyleElement dxfId="3" type="secondRowStripe"/>
      <tableStyleElement dxfId="29" type="totalRow"/>
      <tableStyleElement dxfId="4" size="0" type="wholeTable"/>
    </tableStyle>
    <tableStyle count="5" pivot="0" name="MO Tasks-style 4">
      <tableStyleElement dxfId="28" type="headerRow"/>
      <tableStyleElement dxfId="2" type="firstRowStripe"/>
      <tableStyleElement dxfId="3" type="secondRowStripe"/>
      <tableStyleElement dxfId="29" type="totalRow"/>
      <tableStyleElement dxfId="4" size="0" type="wholeTable"/>
    </tableStyle>
    <tableStyle count="5" pivot="0" name="MO Tasks-style 5">
      <tableStyleElement dxfId="28" type="headerRow"/>
      <tableStyleElement dxfId="2" type="firstRowStripe"/>
      <tableStyleElement dxfId="3" type="secondRowStripe"/>
      <tableStyleElement dxfId="29" type="totalRow"/>
      <tableStyleElement dxfId="4" size="0" type="wholeTable"/>
    </tableStyle>
    <tableStyle count="5" pivot="0" name="SU Tasks-style">
      <tableStyleElement dxfId="30" type="headerRow"/>
      <tableStyleElement dxfId="2" type="firstRowStripe"/>
      <tableStyleElement dxfId="3" type="secondRowStripe"/>
      <tableStyleElement dxfId="31" type="totalRow"/>
      <tableStyleElement dxfId="4" size="0" type="wholeTable"/>
    </tableStyle>
    <tableStyle count="5" pivot="0" name="SU Tasks-style 2">
      <tableStyleElement dxfId="30" type="headerRow"/>
      <tableStyleElement dxfId="2" type="firstRowStripe"/>
      <tableStyleElement dxfId="3" type="secondRowStripe"/>
      <tableStyleElement dxfId="31" type="totalRow"/>
      <tableStyleElement dxfId="4" size="0" type="wholeTable"/>
    </tableStyle>
    <tableStyle count="5" pivot="0" name="SU Tasks-style 3">
      <tableStyleElement dxfId="30" type="headerRow"/>
      <tableStyleElement dxfId="2" type="firstRowStripe"/>
      <tableStyleElement dxfId="3" type="secondRowStripe"/>
      <tableStyleElement dxfId="31" type="totalRow"/>
      <tableStyleElement dxfId="4" size="0" type="wholeTable"/>
    </tableStyle>
    <tableStyle count="5" pivot="0" name="SU Tasks-style 4">
      <tableStyleElement dxfId="30" type="headerRow"/>
      <tableStyleElement dxfId="2" type="firstRowStripe"/>
      <tableStyleElement dxfId="3" type="secondRowStripe"/>
      <tableStyleElement dxfId="31" type="totalRow"/>
      <tableStyleElement dxfId="4" size="0" type="wholeTable"/>
    </tableStyle>
    <tableStyle count="5" pivot="0" name="SU Tasks-style 5">
      <tableStyleElement dxfId="30" type="headerRow"/>
      <tableStyleElement dxfId="2" type="firstRowStripe"/>
      <tableStyleElement dxfId="3" type="secondRowStripe"/>
      <tableStyleElement dxfId="31" type="totalRow"/>
      <tableStyleElement dxfId="4" size="0" type="wholeTable"/>
    </tableStyle>
    <tableStyle count="5" pivot="0" name="SU Tasks-style 6">
      <tableStyleElement dxfId="30" type="headerRow"/>
      <tableStyleElement dxfId="2" type="firstRowStripe"/>
      <tableStyleElement dxfId="3" type="secondRowStripe"/>
      <tableStyleElement dxfId="31" type="totalRow"/>
      <tableStyleElement dxfId="4" size="0" type="wholeTable"/>
    </tableStyle>
    <tableStyle count="5" pivot="0" name="SU Tasks-style 7">
      <tableStyleElement dxfId="30" type="headerRow"/>
      <tableStyleElement dxfId="2" type="firstRowStripe"/>
      <tableStyleElement dxfId="3" type="secondRowStripe"/>
      <tableStyleElement dxfId="31" type="totalRow"/>
      <tableStyleElement dxfId="4" size="0" type="wholeTable"/>
    </tableStyle>
    <tableStyle count="5" pivot="0" name="UN Tasks-style">
      <tableStyleElement dxfId="32" type="headerRow"/>
      <tableStyleElement dxfId="2" type="firstRowStripe"/>
      <tableStyleElement dxfId="3" type="secondRowStripe"/>
      <tableStyleElement dxfId="33" type="totalRow"/>
      <tableStyleElement dxfId="4" size="0" type="wholeTable"/>
    </tableStyle>
    <tableStyle count="5" pivot="0" name="UN Tasks-style 2">
      <tableStyleElement dxfId="32" type="headerRow"/>
      <tableStyleElement dxfId="2" type="firstRowStripe"/>
      <tableStyleElement dxfId="3" type="secondRowStripe"/>
      <tableStyleElement dxfId="33" type="totalRow"/>
      <tableStyleElement dxfId="4" size="0" type="wholeTable"/>
    </tableStyle>
    <tableStyle count="5" pivot="0" name="UN Tasks-style 3">
      <tableStyleElement dxfId="32" type="headerRow"/>
      <tableStyleElement dxfId="2" type="firstRowStripe"/>
      <tableStyleElement dxfId="3" type="secondRowStripe"/>
      <tableStyleElement dxfId="33" type="totalRow"/>
      <tableStyleElement dxfId="4" size="0" type="wholeTable"/>
    </tableStyle>
    <tableStyle count="5" pivot="0" name="UN Tasks-style 4">
      <tableStyleElement dxfId="32" type="headerRow"/>
      <tableStyleElement dxfId="2" type="firstRowStripe"/>
      <tableStyleElement dxfId="3" type="secondRowStripe"/>
      <tableStyleElement dxfId="33" type="totalRow"/>
      <tableStyleElement dxfId="4" size="0" type="wholeTable"/>
    </tableStyle>
    <tableStyle count="5" pivot="0" name="UN Tasks-style 5">
      <tableStyleElement dxfId="32" type="headerRow"/>
      <tableStyleElement dxfId="2" type="firstRowStripe"/>
      <tableStyleElement dxfId="3" type="secondRowStripe"/>
      <tableStyleElement dxfId="33" type="totalRow"/>
      <tableStyleElement dxfId="4" size="0" type="wholeTable"/>
    </tableStyle>
    <tableStyle count="5" pivot="0" name="BU Tasks-style">
      <tableStyleElement dxfId="34" type="headerRow"/>
      <tableStyleElement dxfId="2" type="firstRowStripe"/>
      <tableStyleElement dxfId="3" type="secondRowStripe"/>
      <tableStyleElement dxfId="35" type="totalRow"/>
      <tableStyleElement dxfId="4" size="0" type="wholeTable"/>
    </tableStyle>
    <tableStyle count="5" pivot="0" name="BU Tasks-style 2">
      <tableStyleElement dxfId="34" type="headerRow"/>
      <tableStyleElement dxfId="2" type="firstRowStripe"/>
      <tableStyleElement dxfId="3" type="secondRowStripe"/>
      <tableStyleElement dxfId="35" type="totalRow"/>
      <tableStyleElement dxfId="4" size="0" type="wholeTable"/>
    </tableStyle>
    <tableStyle count="5" pivot="0" name="BU Tasks-style 3">
      <tableStyleElement dxfId="34" type="headerRow"/>
      <tableStyleElement dxfId="2" type="firstRowStripe"/>
      <tableStyleElement dxfId="3" type="secondRowStripe"/>
      <tableStyleElement dxfId="35" type="totalRow"/>
      <tableStyleElement dxfId="4" size="0" type="wholeTable"/>
    </tableStyle>
    <tableStyle count="5" pivot="0" name="BU Tasks-style 4">
      <tableStyleElement dxfId="34" type="headerRow"/>
      <tableStyleElement dxfId="2" type="firstRowStripe"/>
      <tableStyleElement dxfId="3" type="secondRowStripe"/>
      <tableStyleElement dxfId="35" type="totalRow"/>
      <tableStyleElement dxfId="4" size="0" type="wholeTable"/>
    </tableStyle>
    <tableStyle count="5" pivot="0" name="BU Tasks-style 5">
      <tableStyleElement dxfId="34" type="headerRow"/>
      <tableStyleElement dxfId="2" type="firstRowStripe"/>
      <tableStyleElement dxfId="3" type="secondRowStripe"/>
      <tableStyleElement dxfId="35" type="totalRow"/>
      <tableStyleElement dxfId="4" size="0" type="wholeTable"/>
    </tableStyle>
    <tableStyle count="5" pivot="0" name="BU Tasks-style 6">
      <tableStyleElement dxfId="34" type="headerRow"/>
      <tableStyleElement dxfId="2" type="firstRowStripe"/>
      <tableStyleElement dxfId="3" type="secondRowStripe"/>
      <tableStyleElement dxfId="35" type="totalRow"/>
      <tableStyleElement dxfId="4" size="0" type="wholeTable"/>
    </tableStyle>
    <tableStyle count="5" pivot="0" name="BU Tasks-style 7">
      <tableStyleElement dxfId="34" type="headerRow"/>
      <tableStyleElement dxfId="2" type="firstRowStripe"/>
      <tableStyleElement dxfId="3" type="secondRowStripe"/>
      <tableStyleElement dxfId="35" type="totalRow"/>
      <tableStyleElement dxfId="4" size="0" type="wholeTable"/>
    </tableStyle>
    <tableStyle count="5" pivot="0" name="BU Tasks-style 8">
      <tableStyleElement dxfId="34" type="headerRow"/>
      <tableStyleElement dxfId="2" type="firstRowStripe"/>
      <tableStyleElement dxfId="3" type="secondRowStripe"/>
      <tableStyleElement dxfId="35" type="totalRow"/>
      <tableStyleElement dxfId="4" size="0" type="wholeTable"/>
    </tableStyle>
    <tableStyle count="5" pivot="0" name="BU Tasks-style 9">
      <tableStyleElement dxfId="34" type="headerRow"/>
      <tableStyleElement dxfId="2" type="firstRowStripe"/>
      <tableStyleElement dxfId="3" type="secondRowStripe"/>
      <tableStyleElement dxfId="3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504538930" name="Visualization1" title="Visualiz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0" displayName="Team_Goals" name="Team_Goals" id="1">
  <tableColumns count="6">
    <tableColumn name="ID" id="1"/>
    <tableColumn name="Goal" id="2"/>
    <tableColumn name="Subteam" id="3"/>
    <tableColumn name="Status" id="4"/>
    <tableColumn name="Success Metric" id="5"/>
    <tableColumn name="Notes" id="6"/>
  </tableColumns>
  <tableStyleInfo name="Goals-style" showColumnStripes="0" showFirstColumn="1" showLastColumn="1" showRowStripes="1"/>
</table>
</file>

<file path=xl/tables/table2.xml><?xml version="1.0" encoding="utf-8"?>
<table xmlns="http://schemas.openxmlformats.org/spreadsheetml/2006/main" ref="A1:H145" displayName="Milestones" name="Milestones" id="2">
  <tableColumns count="8">
    <tableColumn name="ID" id="1"/>
    <tableColumn name="Task" id="2"/>
    <tableColumn name="Subteam" id="3"/>
    <tableColumn name="Start" id="4"/>
    <tableColumn name="Due" id="5"/>
    <tableColumn name="Status" id="6"/>
    <tableColumn name="Dependencies" id="7"/>
    <tableColumn name="Notes" id="8"/>
  </tableColumns>
  <tableStyleInfo name="Milestones-style" showColumnStripes="0" showFirstColumn="1" showLastColumn="1" showRowStripes="1"/>
</table>
</file>

<file path=xl/tables/table3.xml><?xml version="1.0" encoding="utf-8"?>
<table xmlns="http://schemas.openxmlformats.org/spreadsheetml/2006/main" totalsRowCount="1" ref="A2:M9" displayName="A00_General" name="A00_General" id="3">
  <tableColumns count="13">
    <tableColumn name="ID" id="1"/>
    <tableColumn name="Task" id="2"/>
    <tableColumn totalsRowFunction="custom"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totalsRowFunction="custom" name="Part Design" id="13"/>
  </tableColumns>
  <tableStyleInfo name="GE Tasks-style" showColumnStripes="0" showFirstColumn="1" showLastColumn="1" showRowStripes="1"/>
</table>
</file>

<file path=xl/tables/table4.xml><?xml version="1.0" encoding="utf-8"?>
<table xmlns="http://schemas.openxmlformats.org/spreadsheetml/2006/main" totalsRowCount="1" ref="A12:M18" displayName="A01_Chassis" name="A01_Chassis" id="4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GE Tasks-style 2" showColumnStripes="0" showFirstColumn="1" showLastColumn="1" showRowStripes="1"/>
</table>
</file>

<file path=xl/tables/table5.xml><?xml version="1.0" encoding="utf-8"?>
<table xmlns="http://schemas.openxmlformats.org/spreadsheetml/2006/main" totalsRowCount="1" ref="A21:M27" displayName="A02_Powertrain" name="A02_Powertrain" id="5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GE Tasks-style 3" showColumnStripes="0" showFirstColumn="1" showLastColumn="1" showRowStripes="1"/>
</table>
</file>

<file path=xl/tables/table6.xml><?xml version="1.0" encoding="utf-8"?>
<table xmlns="http://schemas.openxmlformats.org/spreadsheetml/2006/main" totalsRowCount="1" ref="A2:M8" displayName="A01_High_Voltage" name="A01_High_Voltage" id="6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HV Tasks-style" showColumnStripes="0" showFirstColumn="1" showLastColumn="1" showRowStripes="1"/>
</table>
</file>

<file path=xl/tables/table7.xml><?xml version="1.0" encoding="utf-8"?>
<table xmlns="http://schemas.openxmlformats.org/spreadsheetml/2006/main" totalsRowCount="1" ref="A11:M17" displayName="A02_Modules" name="A02_Modules" id="7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HV Tasks-style 2" showColumnStripes="0" showFirstColumn="1" showLastColumn="1" showRowStripes="1"/>
</table>
</file>

<file path=xl/tables/table8.xml><?xml version="1.0" encoding="utf-8"?>
<table xmlns="http://schemas.openxmlformats.org/spreadsheetml/2006/main" totalsRowCount="1" ref="A20:M26" displayName="A03_Case" name="A03_Case" id="8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HV Tasks-style 3" showColumnStripes="0" showFirstColumn="1" showLastColumn="1" showRowStripes="1"/>
</table>
</file>

<file path=xl/tables/table9.xml><?xml version="1.0" encoding="utf-8"?>
<table xmlns="http://schemas.openxmlformats.org/spreadsheetml/2006/main" totalsRowCount="1" ref="A29:M35" displayName="A04_Accumulator_Electronics" name="A04_Accumulator_Electronics" id="9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HV Tasks-style 4" showColumnStripes="0" showFirstColumn="1" showLastColumn="1" showRowStripes="1"/>
</table>
</file>

<file path=xl/tables/table10.xml><?xml version="1.0" encoding="utf-8"?>
<table xmlns="http://schemas.openxmlformats.org/spreadsheetml/2006/main" totalsRowCount="1" ref="A38:M44" displayName="A05_Inverter_Enclosure" name="A05_Inverter_Enclosure" id="10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HV Tasks-style 5" showColumnStripes="0" showFirstColumn="1" showLastColumn="1" showRowStripes="1"/>
</table>
</file>

<file path=xl/tables/table11.xml><?xml version="1.0" encoding="utf-8"?>
<table xmlns="http://schemas.openxmlformats.org/spreadsheetml/2006/main" totalsRowCount="1" ref="A47:M53" displayName="A06_Powerhouse" name="A06_Powerhouse" id="11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HV Tasks-style 6" showColumnStripes="0" showFirstColumn="1" showLastColumn="1" showRowStripes="1"/>
</table>
</file>

<file path=xl/tables/table12.xml><?xml version="1.0" encoding="utf-8"?>
<table xmlns="http://schemas.openxmlformats.org/spreadsheetml/2006/main" totalsRowCount="1" ref="A56:M62" displayName="A07_Control_Panel" name="A07_Control_Panel" id="12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HV Tasks-style 7" showColumnStripes="0" showFirstColumn="1" showLastColumn="1" showRowStripes="1"/>
</table>
</file>

<file path=xl/tables/table13.xml><?xml version="1.0" encoding="utf-8"?>
<table xmlns="http://schemas.openxmlformats.org/spreadsheetml/2006/main" totalsRowCount="1" ref="A65:M71" displayName="A08_RTML_and_TSSI" name="A08_RTML_and_TSSI" id="13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HV Tasks-style 8" showColumnStripes="0" showFirstColumn="1" showLastColumn="1" showRowStripes="1"/>
</table>
</file>

<file path=xl/tables/table14.xml><?xml version="1.0" encoding="utf-8"?>
<table xmlns="http://schemas.openxmlformats.org/spreadsheetml/2006/main" totalsRowCount="1" ref="A74:M80" displayName="A09_Other_High_Voltage" name="A09_Other_High_Voltage" id="14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HV Tasks-style 9" showColumnStripes="0" showFirstColumn="1" showLastColumn="1" showRowStripes="1"/>
</table>
</file>

<file path=xl/tables/table15.xml><?xml version="1.0" encoding="utf-8"?>
<table xmlns="http://schemas.openxmlformats.org/spreadsheetml/2006/main" totalsRowCount="1" ref="A2:M8" displayName="A01_Low_Voltage" name="A01_Low_Voltage" id="15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LV Tasks-style" showColumnStripes="0" showFirstColumn="1" showLastColumn="1" showRowStripes="1"/>
</table>
</file>

<file path=xl/tables/table16.xml><?xml version="1.0" encoding="utf-8"?>
<table xmlns="http://schemas.openxmlformats.org/spreadsheetml/2006/main" totalsRowCount="1" ref="A11:M17" displayName="A02_Harness" name="A02_Harness" id="16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LV Tasks-style 2" showColumnStripes="0" showFirstColumn="1" showLastColumn="1" showRowStripes="1"/>
</table>
</file>

<file path=xl/tables/table17.xml><?xml version="1.0" encoding="utf-8"?>
<table xmlns="http://schemas.openxmlformats.org/spreadsheetml/2006/main" totalsRowCount="1" ref="A20:M26" displayName="A03_ECU" name="A03_ECU" id="17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LV Tasks-style 3" showColumnStripes="0" showFirstColumn="1" showLastColumn="1" showRowStripes="1"/>
</table>
</file>

<file path=xl/tables/table18.xml><?xml version="1.0" encoding="utf-8"?>
<table xmlns="http://schemas.openxmlformats.org/spreadsheetml/2006/main" totalsRowCount="1" ref="A29:M38" displayName="A04_BMS_Child" name="A04_BMS_Child" id="18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LV Tasks-style 4" showColumnStripes="0" showFirstColumn="1" showLastColumn="1" showRowStripes="1"/>
</table>
</file>

<file path=xl/tables/table19.xml><?xml version="1.0" encoding="utf-8"?>
<table xmlns="http://schemas.openxmlformats.org/spreadsheetml/2006/main" totalsRowCount="1" ref="A41:M47" displayName="A05_ACU" name="A05_ACU" id="19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LV Tasks-style 5" showColumnStripes="0" showFirstColumn="1" showLastColumn="1" showRowStripes="1"/>
</table>
</file>

<file path=xl/tables/table20.xml><?xml version="1.0" encoding="utf-8"?>
<table xmlns="http://schemas.openxmlformats.org/spreadsheetml/2006/main" totalsRowCount="1" ref="A50:M56" displayName="A06_Shutdown" name="A06_Shutdown" id="20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LV Tasks-style 6" showColumnStripes="0" showFirstColumn="1" showLastColumn="1" showRowStripes="1"/>
</table>
</file>

<file path=xl/tables/table21.xml><?xml version="1.0" encoding="utf-8"?>
<table xmlns="http://schemas.openxmlformats.org/spreadsheetml/2006/main" totalsRowCount="1" ref="A59:M65" displayName="A07_Discharge" name="A07_Discharge" id="21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LV Tasks-style 7" showColumnStripes="0" showFirstColumn="1" showLastColumn="1" showRowStripes="1"/>
</table>
</file>

<file path=xl/tables/table22.xml><?xml version="1.0" encoding="utf-8"?>
<table xmlns="http://schemas.openxmlformats.org/spreadsheetml/2006/main" totalsRowCount="1" ref="A68:M74" displayName="A08_PDU" name="A08_PDU" id="22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LV Tasks-style 8" showColumnStripes="0" showFirstColumn="1" showLastColumn="1" showRowStripes="1"/>
</table>
</file>

<file path=xl/tables/table23.xml><?xml version="1.0" encoding="utf-8"?>
<table xmlns="http://schemas.openxmlformats.org/spreadsheetml/2006/main" totalsRowCount="1" ref="A77:M87" displayName="A09_Dash" name="A09_Dash" id="23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LV Tasks-style 9" showColumnStripes="0" showFirstColumn="1" showLastColumn="1" showRowStripes="1"/>
</table>
</file>

<file path=xl/tables/table24.xml><?xml version="1.0" encoding="utf-8"?>
<table xmlns="http://schemas.openxmlformats.org/spreadsheetml/2006/main" totalsRowCount="1" ref="A90:M96" displayName="A10_Other_Low_Voltage" name="A10_Other_Low_Voltage" id="24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LV Tasks-style 10" showColumnStripes="0" showFirstColumn="1" showLastColumn="1" showRowStripes="1"/>
</table>
</file>

<file path=xl/tables/table25.xml><?xml version="1.0" encoding="utf-8"?>
<table xmlns="http://schemas.openxmlformats.org/spreadsheetml/2006/main" totalsRowCount="1" ref="A2:M8" displayName="A01_Cooling" name="A01_Cooling" id="25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CO Tasks-style" showColumnStripes="0" showFirstColumn="1" showLastColumn="1" showRowStripes="1"/>
</table>
</file>

<file path=xl/tables/table26.xml><?xml version="1.0" encoding="utf-8"?>
<table xmlns="http://schemas.openxmlformats.org/spreadsheetml/2006/main" totalsRowCount="1" ref="A11:M24" displayName="A02_Liquid_Loop" name="A02_Liquid_Loop" id="26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CO Tasks-style 2" showColumnStripes="0" showFirstColumn="1" showLastColumn="1" showRowStripes="1"/>
</table>
</file>

<file path=xl/tables/table27.xml><?xml version="1.0" encoding="utf-8"?>
<table xmlns="http://schemas.openxmlformats.org/spreadsheetml/2006/main" totalsRowCount="1" ref="A27:M33" displayName="A03_Cooling_Sleeve" name="A03_Cooling_Sleeve" id="27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CO Tasks-style 3" showColumnStripes="0" showFirstColumn="1" showLastColumn="1" showRowStripes="1"/>
</table>
</file>

<file path=xl/tables/table28.xml><?xml version="1.0" encoding="utf-8"?>
<table xmlns="http://schemas.openxmlformats.org/spreadsheetml/2006/main" totalsRowCount="1" ref="A36:M42" displayName="A04_Accumulator_Cooling" name="A04_Accumulator_Cooling" id="28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CO Tasks-style 4" showColumnStripes="0" showFirstColumn="1" showLastColumn="1" showRowStripes="1"/>
</table>
</file>

<file path=xl/tables/table29.xml><?xml version="1.0" encoding="utf-8"?>
<table xmlns="http://schemas.openxmlformats.org/spreadsheetml/2006/main" totalsRowCount="1" ref="A45:M51" displayName="A05_Other_Cooling" name="A05_Other_Cooling" id="29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CO Tasks-style 5" showColumnStripes="0" showFirstColumn="1" showLastColumn="1" showRowStripes="1"/>
</table>
</file>

<file path=xl/tables/table30.xml><?xml version="1.0" encoding="utf-8"?>
<table xmlns="http://schemas.openxmlformats.org/spreadsheetml/2006/main" totalsRowCount="1" ref="A2:M8" displayName="A01_Firmware" name="A01_Firmware" id="30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FW Tasks-style" showColumnStripes="0" showFirstColumn="1" showLastColumn="1" showRowStripes="1"/>
</table>
</file>

<file path=xl/tables/table31.xml><?xml version="1.0" encoding="utf-8"?>
<table xmlns="http://schemas.openxmlformats.org/spreadsheetml/2006/main" totalsRowCount="1" ref="A11:M20" displayName="A02_BMS_Code" name="A02_BMS_Code" id="31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FW Tasks-style 2" showColumnStripes="0" showFirstColumn="1" showLastColumn="1" showRowStripes="1"/>
</table>
</file>

<file path=xl/tables/table32.xml><?xml version="1.0" encoding="utf-8"?>
<table xmlns="http://schemas.openxmlformats.org/spreadsheetml/2006/main" totalsRowCount="1" ref="A23:M30" displayName="A03_ECU_Code" name="A03_ECU_Code" id="32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FW Tasks-style 3" showColumnStripes="0" showFirstColumn="1" showLastColumn="1" showRowStripes="1"/>
</table>
</file>

<file path=xl/tables/table33.xml><?xml version="1.0" encoding="utf-8"?>
<table xmlns="http://schemas.openxmlformats.org/spreadsheetml/2006/main" totalsRowCount="1" ref="A33:M50" displayName="A04_Active_VD_Controls" name="A04_Active_VD_Controls" id="33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FW Tasks-style 4" showColumnStripes="0" showFirstColumn="1" showLastColumn="1" showRowStripes="1"/>
</table>
</file>

<file path=xl/tables/table34.xml><?xml version="1.0" encoding="utf-8"?>
<table xmlns="http://schemas.openxmlformats.org/spreadsheetml/2006/main" totalsRowCount="1" ref="A53:M63" displayName="A05_Dash_Firmware" name="A05_Dash_Firmware" id="34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FW Tasks-style 5" showColumnStripes="0" showFirstColumn="1" showLastColumn="1" showRowStripes="1"/>
</table>
</file>

<file path=xl/tables/table35.xml><?xml version="1.0" encoding="utf-8"?>
<table xmlns="http://schemas.openxmlformats.org/spreadsheetml/2006/main" totalsRowCount="1" ref="A66:M72" displayName="A06_Other_Firmware" name="A06_Other_Firmware" id="35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FW Tasks-style 6" showColumnStripes="0" showFirstColumn="1" showLastColumn="1" showRowStripes="1"/>
</table>
</file>

<file path=xl/tables/table36.xml><?xml version="1.0" encoding="utf-8"?>
<table xmlns="http://schemas.openxmlformats.org/spreadsheetml/2006/main" totalsRowCount="1" ref="A2:M8" displayName="A01_Autonomy" name="A01_Autonomy" id="36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U Tasks-style" showColumnStripes="0" showFirstColumn="1" showLastColumn="1" showRowStripes="1"/>
</table>
</file>

<file path=xl/tables/table37.xml><?xml version="1.0" encoding="utf-8"?>
<table xmlns="http://schemas.openxmlformats.org/spreadsheetml/2006/main" totalsRowCount="1" ref="A11:M19" displayName="A02_Autonomy_Mechanical" name="A02_Autonomy_Mechanical" id="37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U Tasks-style 2" showColumnStripes="0" showFirstColumn="1" showLastColumn="1" showRowStripes="1"/>
</table>
</file>

<file path=xl/tables/table38.xml><?xml version="1.0" encoding="utf-8"?>
<table xmlns="http://schemas.openxmlformats.org/spreadsheetml/2006/main" totalsRowCount="1" ref="A23:M30" displayName="A03_Path_Planning_and_Following" name="A03_Path_Planning_and_Following" id="38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U Tasks-style 3" showColumnStripes="0" showFirstColumn="1" showLastColumn="1" showRowStripes="1"/>
</table>
</file>

<file path=xl/tables/table39.xml><?xml version="1.0" encoding="utf-8"?>
<table xmlns="http://schemas.openxmlformats.org/spreadsheetml/2006/main" totalsRowCount="1" ref="A33:M39" displayName="A04_Sensors_and_Harnessing" name="A04_Sensors_and_Harnessing" id="39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U Tasks-style 4" showColumnStripes="0" showFirstColumn="1" showLastColumn="1" showRowStripes="1"/>
</table>
</file>

<file path=xl/tables/table40.xml><?xml version="1.0" encoding="utf-8"?>
<table xmlns="http://schemas.openxmlformats.org/spreadsheetml/2006/main" totalsRowCount="1" ref="A42:M50" displayName="A05_Compute_and_Hardware" name="A05_Compute_and_Hardware" id="40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U Tasks-style 5" showColumnStripes="0" showFirstColumn="1" showLastColumn="1" showRowStripes="1"/>
</table>
</file>

<file path=xl/tables/table41.xml><?xml version="1.0" encoding="utf-8"?>
<table xmlns="http://schemas.openxmlformats.org/spreadsheetml/2006/main" totalsRowCount="1" ref="A53:M63" displayName="A06_Perception_and_Data_Interface" name="A06_Perception_and_Data_Interface" id="41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U Tasks-style 6" showColumnStripes="0" showFirstColumn="1" showLastColumn="1" showRowStripes="1"/>
</table>
</file>

<file path=xl/tables/table42.xml><?xml version="1.0" encoding="utf-8"?>
<table xmlns="http://schemas.openxmlformats.org/spreadsheetml/2006/main" totalsRowCount="1" ref="A66:M72" displayName="A07_Software_Pipeline" name="A07_Software_Pipeline" id="42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U Tasks-style 7" showColumnStripes="0" showFirstColumn="1" showLastColumn="1" showRowStripes="1"/>
</table>
</file>

<file path=xl/tables/table43.xml><?xml version="1.0" encoding="utf-8"?>
<table xmlns="http://schemas.openxmlformats.org/spreadsheetml/2006/main" totalsRowCount="1" ref="A75:M81" displayName="A08_Other_Autonomy" name="A08_Other_Autonomy" id="43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U Tasks-style 8" showColumnStripes="0" showFirstColumn="1" showLastColumn="1" showRowStripes="1"/>
</table>
</file>

<file path=xl/tables/table44.xml><?xml version="1.0" encoding="utf-8"?>
<table xmlns="http://schemas.openxmlformats.org/spreadsheetml/2006/main" totalsRowCount="1" ref="A2:M14" displayName="A01_Aerodynamics" name="A01_Aerodynamics" id="44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E Tasks-style" showColumnStripes="0" showFirstColumn="1" showLastColumn="1" showRowStripes="1"/>
</table>
</file>

<file path=xl/tables/table45.xml><?xml version="1.0" encoding="utf-8"?>
<table xmlns="http://schemas.openxmlformats.org/spreadsheetml/2006/main" totalsRowCount="1" ref="A17:M23" displayName="A02_Front_Wing" name="A02_Front_Wing" id="45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E Tasks-style 2" showColumnStripes="0" showFirstColumn="1" showLastColumn="1" showRowStripes="1"/>
</table>
</file>

<file path=xl/tables/table46.xml><?xml version="1.0" encoding="utf-8"?>
<table xmlns="http://schemas.openxmlformats.org/spreadsheetml/2006/main" totalsRowCount="1" ref="A26:M32" displayName="A03_Rear_Wing" name="A03_Rear_Wing" id="46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E Tasks-style 3" showColumnStripes="0" showFirstColumn="1" showLastColumn="1" showRowStripes="1"/>
</table>
</file>

<file path=xl/tables/table47.xml><?xml version="1.0" encoding="utf-8"?>
<table xmlns="http://schemas.openxmlformats.org/spreadsheetml/2006/main" totalsRowCount="1" ref="A35:M41" displayName="A04_Undertray" name="A04_Undertray" id="47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E Tasks-style 4" showColumnStripes="0" showFirstColumn="1" showLastColumn="1" showRowStripes="1"/>
</table>
</file>

<file path=xl/tables/table48.xml><?xml version="1.0" encoding="utf-8"?>
<table xmlns="http://schemas.openxmlformats.org/spreadsheetml/2006/main" totalsRowCount="1" ref="A44:M50" displayName="A05_Auxiliary_Elements" name="A05_Auxiliary_Elements" id="48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E Tasks-style 5" showColumnStripes="0" showFirstColumn="1" showLastColumn="1" showRowStripes="1"/>
</table>
</file>

<file path=xl/tables/table49.xml><?xml version="1.0" encoding="utf-8"?>
<table xmlns="http://schemas.openxmlformats.org/spreadsheetml/2006/main" totalsRowCount="1" ref="A53:M59" displayName="A06_Sidepod" name="A06_Sidepod" id="49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E Tasks-style 6" showColumnStripes="0" showFirstColumn="1" showLastColumn="1" showRowStripes="1"/>
</table>
</file>

<file path=xl/tables/table50.xml><?xml version="1.0" encoding="utf-8"?>
<table xmlns="http://schemas.openxmlformats.org/spreadsheetml/2006/main" totalsRowCount="1" ref="A62:M68" displayName="A07_CFD" name="A07_CFD" id="50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E Tasks-style 7" showColumnStripes="0" showFirstColumn="1" showLastColumn="1" showRowStripes="1"/>
</table>
</file>

<file path=xl/tables/table51.xml><?xml version="1.0" encoding="utf-8"?>
<table xmlns="http://schemas.openxmlformats.org/spreadsheetml/2006/main" totalsRowCount="1" ref="A71:M77" displayName="A08_Other_Aerodynamics" name="A08_Other_Aerodynamics" id="51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AE Tasks-style 8" showColumnStripes="0" showFirstColumn="1" showLastColumn="1" showRowStripes="1"/>
</table>
</file>

<file path=xl/tables/table52.xml><?xml version="1.0" encoding="utf-8"?>
<table xmlns="http://schemas.openxmlformats.org/spreadsheetml/2006/main" totalsRowCount="1" ref="A2:M9" displayName="A01_Ergonomics" name="A01_Ergonomics" id="52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ER Tasks-style" showColumnStripes="0" showFirstColumn="1" showLastColumn="1" showRowStripes="1"/>
</table>
</file>

<file path=xl/tables/table53.xml><?xml version="1.0" encoding="utf-8"?>
<table xmlns="http://schemas.openxmlformats.org/spreadsheetml/2006/main" totalsRowCount="1" ref="A12:M18" displayName="A02_Steering" name="A02_Steering" id="53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ER Tasks-style 2" showColumnStripes="0" showFirstColumn="1" showLastColumn="1" showRowStripes="1"/>
</table>
</file>

<file path=xl/tables/table54.xml><?xml version="1.0" encoding="utf-8"?>
<table xmlns="http://schemas.openxmlformats.org/spreadsheetml/2006/main" totalsRowCount="1" ref="A21:M28" displayName="A03_Pedals" name="A03_Pedals" id="54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ER Tasks-style 3" showColumnStripes="0" showFirstColumn="1" showLastColumn="1" showRowStripes="1"/>
</table>
</file>

<file path=xl/tables/table55.xml><?xml version="1.0" encoding="utf-8"?>
<table xmlns="http://schemas.openxmlformats.org/spreadsheetml/2006/main" totalsRowCount="1" ref="A31:M39" displayName="A04_Seat" name="A04_Seat" id="55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ER Tasks-style 4" showColumnStripes="0" showFirstColumn="1" showLastColumn="1" showRowStripes="1"/>
</table>
</file>

<file path=xl/tables/table56.xml><?xml version="1.0" encoding="utf-8"?>
<table xmlns="http://schemas.openxmlformats.org/spreadsheetml/2006/main" totalsRowCount="1" ref="A42:M48" displayName="A05_Firewall" name="A05_Firewall" id="56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ER Tasks-style 5" showColumnStripes="0" showFirstColumn="1" showLastColumn="1" showRowStripes="1"/>
</table>
</file>

<file path=xl/tables/table57.xml><?xml version="1.0" encoding="utf-8"?>
<table xmlns="http://schemas.openxmlformats.org/spreadsheetml/2006/main" totalsRowCount="1" ref="A51:M57" displayName="A06_Head_Restraint" name="A06_Head_Restraint" id="57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ER Tasks-style 6" showColumnStripes="0" showFirstColumn="1" showLastColumn="1" showRowStripes="1"/>
</table>
</file>

<file path=xl/tables/table58.xml><?xml version="1.0" encoding="utf-8"?>
<table xmlns="http://schemas.openxmlformats.org/spreadsheetml/2006/main" totalsRowCount="1" ref="A60:M66" displayName="A07_Steering_Wheel" name="A07_Steering_Wheel" id="58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ER Tasks-style 7" showColumnStripes="0" showFirstColumn="1" showLastColumn="1" showRowStripes="1"/>
</table>
</file>

<file path=xl/tables/table59.xml><?xml version="1.0" encoding="utf-8"?>
<table xmlns="http://schemas.openxmlformats.org/spreadsheetml/2006/main" totalsRowCount="1" ref="A69:M75" displayName="A08_Other_Ergonomics" name="A08_Other_Ergonomics" id="59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ER Tasks-style 8" showColumnStripes="0" showFirstColumn="1" showLastColumn="1" showRowStripes="1"/>
</table>
</file>

<file path=xl/tables/table60.xml><?xml version="1.0" encoding="utf-8"?>
<table xmlns="http://schemas.openxmlformats.org/spreadsheetml/2006/main" totalsRowCount="1" ref="A2:M36" displayName="A01_Monocoque" name="A01_Monocoque" id="60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MO Tasks-style" showColumnStripes="0" showFirstColumn="1" showLastColumn="1" showRowStripes="1"/>
</table>
</file>

<file path=xl/tables/table61.xml><?xml version="1.0" encoding="utf-8"?>
<table xmlns="http://schemas.openxmlformats.org/spreadsheetml/2006/main" totalsRowCount="1" ref="A39:M45" displayName="A02_MO_Geometry" name="A02_MO_Geometry" id="61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MO Tasks-style 2" showColumnStripes="0" showFirstColumn="1" showLastColumn="1" showRowStripes="1"/>
</table>
</file>

<file path=xl/tables/table62.xml><?xml version="1.0" encoding="utf-8"?>
<table xmlns="http://schemas.openxmlformats.org/spreadsheetml/2006/main" totalsRowCount="1" ref="A48:M54" displayName="A03_Protective_Structures" name="A03_Protective_Structures" id="62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MO Tasks-style 3" showColumnStripes="0" showFirstColumn="1" showLastColumn="1" showRowStripes="1"/>
</table>
</file>

<file path=xl/tables/table63.xml><?xml version="1.0" encoding="utf-8"?>
<table xmlns="http://schemas.openxmlformats.org/spreadsheetml/2006/main" totalsRowCount="1" ref="A57:M71" displayName="A05_SES_and_Ply_Schedules" name="A05_SES_and_Ply_Schedules" id="63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MO Tasks-style 4" showColumnStripes="0" showFirstColumn="1" showLastColumn="1" showRowStripes="1"/>
</table>
</file>

<file path=xl/tables/table64.xml><?xml version="1.0" encoding="utf-8"?>
<table xmlns="http://schemas.openxmlformats.org/spreadsheetml/2006/main" totalsRowCount="1" ref="A74:M80" displayName="A06_Other_Monocoque" name="A06_Other_Monocoque" id="64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MO Tasks-style 5" showColumnStripes="0" showFirstColumn="1" showLastColumn="1" showRowStripes="1"/>
</table>
</file>

<file path=xl/tables/table65.xml><?xml version="1.0" encoding="utf-8"?>
<table xmlns="http://schemas.openxmlformats.org/spreadsheetml/2006/main" totalsRowCount="1" ref="A2:M9" displayName="A01_Suspension" name="A01_Suspension" id="65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SU Tasks-style" showColumnStripes="0" showFirstColumn="1" showLastColumn="1" showRowStripes="1"/>
</table>
</file>

<file path=xl/tables/table66.xml><?xml version="1.0" encoding="utf-8"?>
<table xmlns="http://schemas.openxmlformats.org/spreadsheetml/2006/main" totalsRowCount="1" ref="A12:M23" displayName="A02_Links" name="A02_Links" id="66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SU Tasks-style 2" showColumnStripes="0" showFirstColumn="1" showLastColumn="1" showRowStripes="1"/>
</table>
</file>

<file path=xl/tables/table67.xml><?xml version="1.0" encoding="utf-8"?>
<table xmlns="http://schemas.openxmlformats.org/spreadsheetml/2006/main" totalsRowCount="1" ref="A26:M32" displayName="A03_Clevises" name="A03_Clevises" id="67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SU Tasks-style 3" showColumnStripes="0" showFirstColumn="1" showLastColumn="1" showRowStripes="1"/>
</table>
</file>

<file path=xl/tables/table68.xml><?xml version="1.0" encoding="utf-8"?>
<table xmlns="http://schemas.openxmlformats.org/spreadsheetml/2006/main" totalsRowCount="1" ref="A35:M41" displayName="A04_Rockers" name="A04_Rockers" id="68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SU Tasks-style 4" showColumnStripes="0" showFirstColumn="1" showLastColumn="1" showRowStripes="1"/>
</table>
</file>

<file path=xl/tables/table69.xml><?xml version="1.0" encoding="utf-8"?>
<table xmlns="http://schemas.openxmlformats.org/spreadsheetml/2006/main" totalsRowCount="1" ref="A44:M57" displayName="A05_Anti_Roll" name="A05_Anti_Roll" id="69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SU Tasks-style 5" showColumnStripes="0" showFirstColumn="1" showLastColumn="1" showRowStripes="1"/>
</table>
</file>

<file path=xl/tables/table70.xml><?xml version="1.0" encoding="utf-8"?>
<table xmlns="http://schemas.openxmlformats.org/spreadsheetml/2006/main" totalsRowCount="1" ref="A60:M66" displayName="A08_Jig_Plate" name="A08_Jig_Plate" id="70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SU Tasks-style 6" showColumnStripes="0" showFirstColumn="1" showLastColumn="1" showRowStripes="1"/>
</table>
</file>

<file path=xl/tables/table71.xml><?xml version="1.0" encoding="utf-8"?>
<table xmlns="http://schemas.openxmlformats.org/spreadsheetml/2006/main" totalsRowCount="1" ref="A69:M75" displayName="A09_Other_Suspension" name="A09_Other_Suspension" id="71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SU Tasks-style 7" showColumnStripes="0" showFirstColumn="1" showLastColumn="1" showRowStripes="1"/>
</table>
</file>

<file path=xl/tables/table72.xml><?xml version="1.0" encoding="utf-8"?>
<table xmlns="http://schemas.openxmlformats.org/spreadsheetml/2006/main" totalsRowCount="1" ref="A2:M8" displayName="A01_Unsprung" name="A01_Unsprung" id="72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UN Tasks-style" showColumnStripes="0" showFirstColumn="1" showLastColumn="1" showRowStripes="1"/>
</table>
</file>

<file path=xl/tables/table73.xml><?xml version="1.0" encoding="utf-8"?>
<table xmlns="http://schemas.openxmlformats.org/spreadsheetml/2006/main" totalsRowCount="1" ref="A11:M17" displayName="A02_Hubs_and_Uprights" name="A02_Hubs_and_Uprights" id="73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UN Tasks-style 2" showColumnStripes="0" showFirstColumn="1" showLastColumn="1" showRowStripes="1"/>
</table>
</file>

<file path=xl/tables/table74.xml><?xml version="1.0" encoding="utf-8"?>
<table xmlns="http://schemas.openxmlformats.org/spreadsheetml/2006/main" totalsRowCount="1" ref="A20:M26" displayName="A03_Brakes" name="A03_Brakes" id="74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UN Tasks-style 3" showColumnStripes="0" showFirstColumn="1" showLastColumn="1" showRowStripes="1"/>
</table>
</file>

<file path=xl/tables/table75.xml><?xml version="1.0" encoding="utf-8"?>
<table xmlns="http://schemas.openxmlformats.org/spreadsheetml/2006/main" totalsRowCount="1" ref="A29:M35" displayName="A04_Gearbox" name="A04_Gearbox" id="75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UN Tasks-style 4" showColumnStripes="0" showFirstColumn="1" showLastColumn="1" showRowStripes="1"/>
</table>
</file>

<file path=xl/tables/table76.xml><?xml version="1.0" encoding="utf-8"?>
<table xmlns="http://schemas.openxmlformats.org/spreadsheetml/2006/main" totalsRowCount="1" ref="A38:M44" displayName="A05_Other_Unsprung" name="A05_Other_Unsprung" id="76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UN Tasks-style 5" showColumnStripes="0" showFirstColumn="1" showLastColumn="1" showRowStripes="1"/>
</table>
</file>

<file path=xl/tables/table77.xml><?xml version="1.0" encoding="utf-8"?>
<table xmlns="http://schemas.openxmlformats.org/spreadsheetml/2006/main" totalsRowCount="1" ref="A2:M8" displayName="A01_Business" name="A01_Business" id="77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BU Tasks-style" showColumnStripes="0" showFirstColumn="1" showLastColumn="1" showRowStripes="1"/>
</table>
</file>

<file path=xl/tables/table78.xml><?xml version="1.0" encoding="utf-8"?>
<table xmlns="http://schemas.openxmlformats.org/spreadsheetml/2006/main" totalsRowCount="1" ref="A11:M17" displayName="A02_Purchasing" name="A02_Purchasing" id="78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BU Tasks-style 2" showColumnStripes="0" showFirstColumn="1" showLastColumn="1" showRowStripes="1"/>
</table>
</file>

<file path=xl/tables/table79.xml><?xml version="1.0" encoding="utf-8"?>
<table xmlns="http://schemas.openxmlformats.org/spreadsheetml/2006/main" totalsRowCount="1" ref="A20:M34" displayName="A03_Recruitment" name="A03_Recruitment" id="79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BU Tasks-style 3" showColumnStripes="0" showFirstColumn="1" showLastColumn="1" showRowStripes="1"/>
</table>
</file>

<file path=xl/tables/table80.xml><?xml version="1.0" encoding="utf-8"?>
<table xmlns="http://schemas.openxmlformats.org/spreadsheetml/2006/main" totalsRowCount="1" ref="A37:M43" displayName="A04_Business_Presentations" name="A04_Business_Presentations" id="80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BU Tasks-style 4" showColumnStripes="0" showFirstColumn="1" showLastColumn="1" showRowStripes="1"/>
</table>
</file>

<file path=xl/tables/table81.xml><?xml version="1.0" encoding="utf-8"?>
<table xmlns="http://schemas.openxmlformats.org/spreadsheetml/2006/main" totalsRowCount="1" ref="A46:M52" displayName="A05_Fundraising_and_Sponsors" name="A05_Fundraising_and_Sponsors" id="81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BU Tasks-style 5" showColumnStripes="0" showFirstColumn="1" showLastColumn="1" showRowStripes="1"/>
</table>
</file>

<file path=xl/tables/table82.xml><?xml version="1.0" encoding="utf-8"?>
<table xmlns="http://schemas.openxmlformats.org/spreadsheetml/2006/main" totalsRowCount="1" ref="A55:M61" displayName="A06_Website" name="A06_Website" id="82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BU Tasks-style 6" showColumnStripes="0" showFirstColumn="1" showLastColumn="1" showRowStripes="1"/>
</table>
</file>

<file path=xl/tables/table83.xml><?xml version="1.0" encoding="utf-8"?>
<table xmlns="http://schemas.openxmlformats.org/spreadsheetml/2006/main" totalsRowCount="1" ref="A64:M70" displayName="A07_Social_Media" name="A07_Social_Media" id="83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BU Tasks-style 7" showColumnStripes="0" showFirstColumn="1" showLastColumn="1" showRowStripes="1"/>
</table>
</file>

<file path=xl/tables/table84.xml><?xml version="1.0" encoding="utf-8"?>
<table xmlns="http://schemas.openxmlformats.org/spreadsheetml/2006/main" totalsRowCount="1" ref="A73:M79" displayName="A08_Merch" name="A08_Merch" id="84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BU Tasks-style 8" showColumnStripes="0" showFirstColumn="1" showLastColumn="1" showRowStripes="1"/>
</table>
</file>

<file path=xl/tables/table85.xml><?xml version="1.0" encoding="utf-8"?>
<table xmlns="http://schemas.openxmlformats.org/spreadsheetml/2006/main" totalsRowCount="1" ref="A82:M88" displayName="A09_Other_Business" name="A09_Other_Business" id="85">
  <tableColumns count="13">
    <tableColumn name="ID" id="1"/>
    <tableColumn name="Task" id="2"/>
    <tableColumn name="Subteam" id="3"/>
    <tableColumn name="Start" id="4"/>
    <tableColumn name="Due" id="5"/>
    <tableColumn name="Status" id="6"/>
    <tableColumn name="Milestone" id="7"/>
    <tableColumn name="Owner" id="8"/>
    <tableColumn name="Priority" id="9"/>
    <tableColumn name="Dependencies" id="10"/>
    <tableColumn name="Deliverables" id="11"/>
    <tableColumn name="Notes" id="12"/>
    <tableColumn name="Part Design" id="13"/>
  </tableColumns>
  <tableStyleInfo name="BU Tasks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cpm224@cornell.edu" TargetMode="External"/><Relationship Id="rId2" Type="http://schemas.openxmlformats.org/officeDocument/2006/relationships/hyperlink" Target="mailto:cpm224@cornell.edu" TargetMode="External"/><Relationship Id="rId3" Type="http://schemas.openxmlformats.org/officeDocument/2006/relationships/hyperlink" Target="mailto:cpm224@cornell.edu" TargetMode="External"/><Relationship Id="rId4" Type="http://schemas.openxmlformats.org/officeDocument/2006/relationships/hyperlink" Target="mailto:nag72@cornell.edu" TargetMode="External"/><Relationship Id="rId13" Type="http://schemas.openxmlformats.org/officeDocument/2006/relationships/table" Target="../tables/table3.xml"/><Relationship Id="rId9" Type="http://schemas.openxmlformats.org/officeDocument/2006/relationships/drawing" Target="../drawings/drawing10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5" Type="http://schemas.openxmlformats.org/officeDocument/2006/relationships/hyperlink" Target="mailto:nag72@cornell.edu" TargetMode="External"/><Relationship Id="rId6" Type="http://schemas.openxmlformats.org/officeDocument/2006/relationships/hyperlink" Target="mailto:wdh64@cornell.edu" TargetMode="External"/><Relationship Id="rId7" Type="http://schemas.openxmlformats.org/officeDocument/2006/relationships/hyperlink" Target="mailto:wdh64@cornell.edu" TargetMode="External"/><Relationship Id="rId8" Type="http://schemas.openxmlformats.org/officeDocument/2006/relationships/hyperlink" Target="mailto:wdh64@cornell.edu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6.xml"/><Relationship Id="rId13" Type="http://schemas.openxmlformats.org/officeDocument/2006/relationships/table" Target="../tables/table8.xml"/><Relationship Id="rId12" Type="http://schemas.openxmlformats.org/officeDocument/2006/relationships/table" Target="../tables/table7.xml"/><Relationship Id="rId15" Type="http://schemas.openxmlformats.org/officeDocument/2006/relationships/table" Target="../tables/table10.xml"/><Relationship Id="rId14" Type="http://schemas.openxmlformats.org/officeDocument/2006/relationships/table" Target="../tables/table9.xml"/><Relationship Id="rId17" Type="http://schemas.openxmlformats.org/officeDocument/2006/relationships/table" Target="../tables/table12.xml"/><Relationship Id="rId16" Type="http://schemas.openxmlformats.org/officeDocument/2006/relationships/table" Target="../tables/table11.xml"/><Relationship Id="rId19" Type="http://schemas.openxmlformats.org/officeDocument/2006/relationships/table" Target="../tables/table14.xml"/><Relationship Id="rId18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aph74@cornell.edu" TargetMode="External"/><Relationship Id="rId2" Type="http://schemas.openxmlformats.org/officeDocument/2006/relationships/hyperlink" Target="mailto:sah392@cornell.edu" TargetMode="External"/><Relationship Id="rId3" Type="http://schemas.openxmlformats.org/officeDocument/2006/relationships/hyperlink" Target="mailto:sah392@cornell.edu" TargetMode="External"/><Relationship Id="rId4" Type="http://schemas.openxmlformats.org/officeDocument/2006/relationships/hyperlink" Target="mailto:sah392@cornell.edu" TargetMode="External"/><Relationship Id="rId9" Type="http://schemas.openxmlformats.org/officeDocument/2006/relationships/hyperlink" Target="mailto:aph74@cornell.edu" TargetMode="External"/><Relationship Id="rId5" Type="http://schemas.openxmlformats.org/officeDocument/2006/relationships/hyperlink" Target="mailto:sah392@cornell.edu" TargetMode="External"/><Relationship Id="rId6" Type="http://schemas.openxmlformats.org/officeDocument/2006/relationships/hyperlink" Target="mailto:sah392@cornell.edu" TargetMode="External"/><Relationship Id="rId7" Type="http://schemas.openxmlformats.org/officeDocument/2006/relationships/hyperlink" Target="mailto:sah392@cornell.edu" TargetMode="External"/><Relationship Id="rId8" Type="http://schemas.openxmlformats.org/officeDocument/2006/relationships/hyperlink" Target="mailto:aph74@cornell.edu" TargetMode="External"/><Relationship Id="rId31" Type="http://schemas.openxmlformats.org/officeDocument/2006/relationships/table" Target="../tables/table16.xml"/><Relationship Id="rId30" Type="http://schemas.openxmlformats.org/officeDocument/2006/relationships/table" Target="../tables/table15.xml"/><Relationship Id="rId11" Type="http://schemas.openxmlformats.org/officeDocument/2006/relationships/hyperlink" Target="mailto:szl6@cornell.edu" TargetMode="External"/><Relationship Id="rId33" Type="http://schemas.openxmlformats.org/officeDocument/2006/relationships/table" Target="../tables/table18.xml"/><Relationship Id="rId10" Type="http://schemas.openxmlformats.org/officeDocument/2006/relationships/hyperlink" Target="mailto:aph74@cornell.edu" TargetMode="External"/><Relationship Id="rId32" Type="http://schemas.openxmlformats.org/officeDocument/2006/relationships/table" Target="../tables/table17.xml"/><Relationship Id="rId13" Type="http://schemas.openxmlformats.org/officeDocument/2006/relationships/hyperlink" Target="mailto:kc2272@cornell.edu" TargetMode="External"/><Relationship Id="rId35" Type="http://schemas.openxmlformats.org/officeDocument/2006/relationships/table" Target="../tables/table20.xml"/><Relationship Id="rId12" Type="http://schemas.openxmlformats.org/officeDocument/2006/relationships/hyperlink" Target="mailto:yl4262@cornell.edu" TargetMode="External"/><Relationship Id="rId34" Type="http://schemas.openxmlformats.org/officeDocument/2006/relationships/table" Target="../tables/table19.xml"/><Relationship Id="rId15" Type="http://schemas.openxmlformats.org/officeDocument/2006/relationships/hyperlink" Target="mailto:kc2272@cornell.edu" TargetMode="External"/><Relationship Id="rId37" Type="http://schemas.openxmlformats.org/officeDocument/2006/relationships/table" Target="../tables/table22.xml"/><Relationship Id="rId14" Type="http://schemas.openxmlformats.org/officeDocument/2006/relationships/hyperlink" Target="mailto:kc2272@cornell.edu" TargetMode="External"/><Relationship Id="rId36" Type="http://schemas.openxmlformats.org/officeDocument/2006/relationships/table" Target="../tables/table21.xml"/><Relationship Id="rId17" Type="http://schemas.openxmlformats.org/officeDocument/2006/relationships/hyperlink" Target="mailto:kc2272@cornell.edu" TargetMode="External"/><Relationship Id="rId39" Type="http://schemas.openxmlformats.org/officeDocument/2006/relationships/table" Target="../tables/table24.xml"/><Relationship Id="rId16" Type="http://schemas.openxmlformats.org/officeDocument/2006/relationships/hyperlink" Target="mailto:kc2272@cornell.edu" TargetMode="External"/><Relationship Id="rId38" Type="http://schemas.openxmlformats.org/officeDocument/2006/relationships/table" Target="../tables/table23.xml"/><Relationship Id="rId19" Type="http://schemas.openxmlformats.org/officeDocument/2006/relationships/drawing" Target="../drawings/drawing12.xml"/><Relationship Id="rId18" Type="http://schemas.openxmlformats.org/officeDocument/2006/relationships/hyperlink" Target="mailto:kc2272@cornell.edu" TargetMode="External"/></Relationships>
</file>

<file path=xl/worksheets/_rels/sheet13.xml.rels><?xml version="1.0" encoding="UTF-8" standalone="yes"?><Relationships xmlns="http://schemas.openxmlformats.org/package/2006/relationships"><Relationship Id="rId22" Type="http://schemas.openxmlformats.org/officeDocument/2006/relationships/table" Target="../tables/table25.xml"/><Relationship Id="rId24" Type="http://schemas.openxmlformats.org/officeDocument/2006/relationships/table" Target="../tables/table27.xml"/><Relationship Id="rId23" Type="http://schemas.openxmlformats.org/officeDocument/2006/relationships/table" Target="../tables/table26.xml"/><Relationship Id="rId1" Type="http://schemas.openxmlformats.org/officeDocument/2006/relationships/hyperlink" Target="mailto:iy66@cornell.edu" TargetMode="External"/><Relationship Id="rId2" Type="http://schemas.openxmlformats.org/officeDocument/2006/relationships/hyperlink" Target="mailto:iy66@cornell.edu" TargetMode="External"/><Relationship Id="rId3" Type="http://schemas.openxmlformats.org/officeDocument/2006/relationships/hyperlink" Target="mailto:iy66@cornell.edu" TargetMode="External"/><Relationship Id="rId4" Type="http://schemas.openxmlformats.org/officeDocument/2006/relationships/hyperlink" Target="mailto:iy66@cornell.edu" TargetMode="External"/><Relationship Id="rId9" Type="http://schemas.openxmlformats.org/officeDocument/2006/relationships/hyperlink" Target="mailto:iy66@cornell.edu" TargetMode="External"/><Relationship Id="rId26" Type="http://schemas.openxmlformats.org/officeDocument/2006/relationships/table" Target="../tables/table29.xml"/><Relationship Id="rId25" Type="http://schemas.openxmlformats.org/officeDocument/2006/relationships/table" Target="../tables/table28.xml"/><Relationship Id="rId5" Type="http://schemas.openxmlformats.org/officeDocument/2006/relationships/hyperlink" Target="mailto:iy66@cornell.edu" TargetMode="External"/><Relationship Id="rId6" Type="http://schemas.openxmlformats.org/officeDocument/2006/relationships/hyperlink" Target="mailto:iy66@cornell.edu" TargetMode="External"/><Relationship Id="rId7" Type="http://schemas.openxmlformats.org/officeDocument/2006/relationships/hyperlink" Target="mailto:iy66@cornell.edu" TargetMode="External"/><Relationship Id="rId8" Type="http://schemas.openxmlformats.org/officeDocument/2006/relationships/hyperlink" Target="mailto:iy66@cornell.edu" TargetMode="External"/><Relationship Id="rId11" Type="http://schemas.openxmlformats.org/officeDocument/2006/relationships/hyperlink" Target="mailto:ua46@cornell.edu" TargetMode="External"/><Relationship Id="rId10" Type="http://schemas.openxmlformats.org/officeDocument/2006/relationships/hyperlink" Target="mailto:ua46@cornell.edu" TargetMode="External"/><Relationship Id="rId13" Type="http://schemas.openxmlformats.org/officeDocument/2006/relationships/hyperlink" Target="mailto:tjf97@cornell.edu" TargetMode="External"/><Relationship Id="rId12" Type="http://schemas.openxmlformats.org/officeDocument/2006/relationships/hyperlink" Target="mailto:ua46@cornell.edu" TargetMode="External"/><Relationship Id="rId15" Type="http://schemas.openxmlformats.org/officeDocument/2006/relationships/hyperlink" Target="mailto:tjf97@cornell.edu" TargetMode="External"/><Relationship Id="rId14" Type="http://schemas.openxmlformats.org/officeDocument/2006/relationships/hyperlink" Target="mailto:tjf97@cornell.edu" TargetMode="External"/><Relationship Id="rId16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4.xml"/><Relationship Id="rId20" Type="http://schemas.openxmlformats.org/officeDocument/2006/relationships/hyperlink" Target="mailto:ss4485@cornell.edu" TargetMode="External"/><Relationship Id="rId41" Type="http://schemas.openxmlformats.org/officeDocument/2006/relationships/table" Target="../tables/table35.xml"/><Relationship Id="rId22" Type="http://schemas.openxmlformats.org/officeDocument/2006/relationships/hyperlink" Target="mailto:yl4262@cornell.edu" TargetMode="External"/><Relationship Id="rId21" Type="http://schemas.openxmlformats.org/officeDocument/2006/relationships/hyperlink" Target="mailto:ss4485@cornell.edu" TargetMode="External"/><Relationship Id="rId24" Type="http://schemas.openxmlformats.org/officeDocument/2006/relationships/hyperlink" Target="mailto:yl4262@cornell.edu" TargetMode="External"/><Relationship Id="rId23" Type="http://schemas.openxmlformats.org/officeDocument/2006/relationships/hyperlink" Target="mailto:yl4262@cornell.edu" TargetMode="External"/><Relationship Id="rId1" Type="http://schemas.openxmlformats.org/officeDocument/2006/relationships/hyperlink" Target="mailto:at845@cornell.edu" TargetMode="External"/><Relationship Id="rId2" Type="http://schemas.openxmlformats.org/officeDocument/2006/relationships/hyperlink" Target="mailto:nbs63@cornell.edu" TargetMode="External"/><Relationship Id="rId3" Type="http://schemas.openxmlformats.org/officeDocument/2006/relationships/hyperlink" Target="mailto:nbs63@cornell.edu" TargetMode="External"/><Relationship Id="rId4" Type="http://schemas.openxmlformats.org/officeDocument/2006/relationships/hyperlink" Target="mailto:nbs63@cornell.edu" TargetMode="External"/><Relationship Id="rId9" Type="http://schemas.openxmlformats.org/officeDocument/2006/relationships/hyperlink" Target="mailto:ss4485@cornell.edu" TargetMode="External"/><Relationship Id="rId26" Type="http://schemas.openxmlformats.org/officeDocument/2006/relationships/hyperlink" Target="mailto:yl4262@cornell.edu" TargetMode="External"/><Relationship Id="rId25" Type="http://schemas.openxmlformats.org/officeDocument/2006/relationships/hyperlink" Target="mailto:yl4262@cornell.edu" TargetMode="External"/><Relationship Id="rId28" Type="http://schemas.openxmlformats.org/officeDocument/2006/relationships/hyperlink" Target="mailto:at845@cornell.edu" TargetMode="External"/><Relationship Id="rId27" Type="http://schemas.openxmlformats.org/officeDocument/2006/relationships/hyperlink" Target="mailto:yl4262@cornell.edu" TargetMode="External"/><Relationship Id="rId5" Type="http://schemas.openxmlformats.org/officeDocument/2006/relationships/hyperlink" Target="mailto:nbs63@cornell.edu" TargetMode="External"/><Relationship Id="rId6" Type="http://schemas.openxmlformats.org/officeDocument/2006/relationships/hyperlink" Target="mailto:nbs63@cornell.edu" TargetMode="External"/><Relationship Id="rId29" Type="http://schemas.openxmlformats.org/officeDocument/2006/relationships/drawing" Target="../drawings/drawing14.xml"/><Relationship Id="rId7" Type="http://schemas.openxmlformats.org/officeDocument/2006/relationships/hyperlink" Target="mailto:nbs63@cornell.edu" TargetMode="External"/><Relationship Id="rId8" Type="http://schemas.openxmlformats.org/officeDocument/2006/relationships/hyperlink" Target="mailto:at845@cornell.edu" TargetMode="External"/><Relationship Id="rId11" Type="http://schemas.openxmlformats.org/officeDocument/2006/relationships/hyperlink" Target="mailto:xz886@cornell.edu" TargetMode="External"/><Relationship Id="rId10" Type="http://schemas.openxmlformats.org/officeDocument/2006/relationships/hyperlink" Target="mailto:ss4485@cornell.edu" TargetMode="External"/><Relationship Id="rId13" Type="http://schemas.openxmlformats.org/officeDocument/2006/relationships/hyperlink" Target="mailto:xz886@cornell.edu" TargetMode="External"/><Relationship Id="rId12" Type="http://schemas.openxmlformats.org/officeDocument/2006/relationships/hyperlink" Target="mailto:xz886@cornell.edu" TargetMode="External"/><Relationship Id="rId15" Type="http://schemas.openxmlformats.org/officeDocument/2006/relationships/hyperlink" Target="mailto:xz886@cornell.edu" TargetMode="External"/><Relationship Id="rId37" Type="http://schemas.openxmlformats.org/officeDocument/2006/relationships/table" Target="../tables/table31.xml"/><Relationship Id="rId14" Type="http://schemas.openxmlformats.org/officeDocument/2006/relationships/hyperlink" Target="mailto:xz886@cornell.edu" TargetMode="External"/><Relationship Id="rId36" Type="http://schemas.openxmlformats.org/officeDocument/2006/relationships/table" Target="../tables/table30.xml"/><Relationship Id="rId17" Type="http://schemas.openxmlformats.org/officeDocument/2006/relationships/hyperlink" Target="mailto:xz886@cornell.edu" TargetMode="External"/><Relationship Id="rId39" Type="http://schemas.openxmlformats.org/officeDocument/2006/relationships/table" Target="../tables/table33.xml"/><Relationship Id="rId16" Type="http://schemas.openxmlformats.org/officeDocument/2006/relationships/hyperlink" Target="mailto:xz886@cornell.edu" TargetMode="External"/><Relationship Id="rId38" Type="http://schemas.openxmlformats.org/officeDocument/2006/relationships/table" Target="../tables/table32.xml"/><Relationship Id="rId19" Type="http://schemas.openxmlformats.org/officeDocument/2006/relationships/hyperlink" Target="mailto:xz886@cornell.edu" TargetMode="External"/><Relationship Id="rId18" Type="http://schemas.openxmlformats.org/officeDocument/2006/relationships/hyperlink" Target="mailto:xz886@cornell.edu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3.xml"/><Relationship Id="rId20" Type="http://schemas.openxmlformats.org/officeDocument/2006/relationships/hyperlink" Target="mailto:en329@cornell.edu" TargetMode="External"/><Relationship Id="rId22" Type="http://schemas.openxmlformats.org/officeDocument/2006/relationships/hyperlink" Target="mailto:en329@cornell.edu" TargetMode="External"/><Relationship Id="rId21" Type="http://schemas.openxmlformats.org/officeDocument/2006/relationships/hyperlink" Target="mailto:en329@cornell.edu" TargetMode="External"/><Relationship Id="rId24" Type="http://schemas.openxmlformats.org/officeDocument/2006/relationships/drawing" Target="../drawings/drawing15.xml"/><Relationship Id="rId23" Type="http://schemas.openxmlformats.org/officeDocument/2006/relationships/hyperlink" Target="mailto:en329@cornell.edu" TargetMode="External"/><Relationship Id="rId1" Type="http://schemas.openxmlformats.org/officeDocument/2006/relationships/hyperlink" Target="mailto:ctd63@cornell.edu" TargetMode="External"/><Relationship Id="rId2" Type="http://schemas.openxmlformats.org/officeDocument/2006/relationships/hyperlink" Target="mailto:ctd63@cornell.edu" TargetMode="External"/><Relationship Id="rId3" Type="http://schemas.openxmlformats.org/officeDocument/2006/relationships/hyperlink" Target="mailto:ctd63@cornell.edu" TargetMode="External"/><Relationship Id="rId4" Type="http://schemas.openxmlformats.org/officeDocument/2006/relationships/hyperlink" Target="mailto:ctd63@cornell.edu" TargetMode="External"/><Relationship Id="rId9" Type="http://schemas.openxmlformats.org/officeDocument/2006/relationships/hyperlink" Target="mailto:ctd63@cornell.edu" TargetMode="External"/><Relationship Id="rId5" Type="http://schemas.openxmlformats.org/officeDocument/2006/relationships/hyperlink" Target="mailto:ste27@cornell.edu" TargetMode="External"/><Relationship Id="rId6" Type="http://schemas.openxmlformats.org/officeDocument/2006/relationships/hyperlink" Target="mailto:ste27@cornell.edu" TargetMode="External"/><Relationship Id="rId7" Type="http://schemas.openxmlformats.org/officeDocument/2006/relationships/hyperlink" Target="mailto:ctd63@cornell.edu" TargetMode="External"/><Relationship Id="rId8" Type="http://schemas.openxmlformats.org/officeDocument/2006/relationships/hyperlink" Target="mailto:ste27@cornell.edu" TargetMode="External"/><Relationship Id="rId11" Type="http://schemas.openxmlformats.org/officeDocument/2006/relationships/hyperlink" Target="mailto:bz356@cornell.edu" TargetMode="External"/><Relationship Id="rId33" Type="http://schemas.openxmlformats.org/officeDocument/2006/relationships/table" Target="../tables/table36.xml"/><Relationship Id="rId10" Type="http://schemas.openxmlformats.org/officeDocument/2006/relationships/hyperlink" Target="mailto:ctd63@cornell.edu" TargetMode="External"/><Relationship Id="rId13" Type="http://schemas.openxmlformats.org/officeDocument/2006/relationships/hyperlink" Target="mailto:bz356@cornell.edu" TargetMode="External"/><Relationship Id="rId35" Type="http://schemas.openxmlformats.org/officeDocument/2006/relationships/table" Target="../tables/table38.xml"/><Relationship Id="rId12" Type="http://schemas.openxmlformats.org/officeDocument/2006/relationships/hyperlink" Target="mailto:bz356@cornell.edu" TargetMode="External"/><Relationship Id="rId34" Type="http://schemas.openxmlformats.org/officeDocument/2006/relationships/table" Target="../tables/table37.xml"/><Relationship Id="rId15" Type="http://schemas.openxmlformats.org/officeDocument/2006/relationships/hyperlink" Target="mailto:bz356@cornell.edu" TargetMode="External"/><Relationship Id="rId37" Type="http://schemas.openxmlformats.org/officeDocument/2006/relationships/table" Target="../tables/table40.xml"/><Relationship Id="rId14" Type="http://schemas.openxmlformats.org/officeDocument/2006/relationships/hyperlink" Target="mailto:bz356@cornell.edu" TargetMode="External"/><Relationship Id="rId36" Type="http://schemas.openxmlformats.org/officeDocument/2006/relationships/table" Target="../tables/table39.xml"/><Relationship Id="rId17" Type="http://schemas.openxmlformats.org/officeDocument/2006/relationships/hyperlink" Target="mailto:en329@cornell.edu" TargetMode="External"/><Relationship Id="rId39" Type="http://schemas.openxmlformats.org/officeDocument/2006/relationships/table" Target="../tables/table42.xml"/><Relationship Id="rId16" Type="http://schemas.openxmlformats.org/officeDocument/2006/relationships/hyperlink" Target="mailto:en329@cornell.edu" TargetMode="External"/><Relationship Id="rId38" Type="http://schemas.openxmlformats.org/officeDocument/2006/relationships/table" Target="../tables/table41.xml"/><Relationship Id="rId19" Type="http://schemas.openxmlformats.org/officeDocument/2006/relationships/hyperlink" Target="mailto:en329@cornell.edu" TargetMode="External"/><Relationship Id="rId18" Type="http://schemas.openxmlformats.org/officeDocument/2006/relationships/hyperlink" Target="mailto:en329@cornell.edu" TargetMode="Externa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mailto:zg327@cornell.edu" TargetMode="External"/><Relationship Id="rId22" Type="http://schemas.openxmlformats.org/officeDocument/2006/relationships/hyperlink" Target="mailto:hol3@cornell.edu" TargetMode="External"/><Relationship Id="rId21" Type="http://schemas.openxmlformats.org/officeDocument/2006/relationships/hyperlink" Target="mailto:zg327@cornell.edu" TargetMode="External"/><Relationship Id="rId23" Type="http://schemas.openxmlformats.org/officeDocument/2006/relationships/drawing" Target="../drawings/drawing16.xml"/><Relationship Id="rId1" Type="http://schemas.openxmlformats.org/officeDocument/2006/relationships/hyperlink" Target="mailto:kma92@cornell.edu" TargetMode="External"/><Relationship Id="rId2" Type="http://schemas.openxmlformats.org/officeDocument/2006/relationships/hyperlink" Target="mailto:kma92@cornell.edu" TargetMode="External"/><Relationship Id="rId3" Type="http://schemas.openxmlformats.org/officeDocument/2006/relationships/hyperlink" Target="mailto:kma92@cornell.edu" TargetMode="External"/><Relationship Id="rId4" Type="http://schemas.openxmlformats.org/officeDocument/2006/relationships/hyperlink" Target="mailto:kma92@cornell.edu" TargetMode="External"/><Relationship Id="rId9" Type="http://schemas.openxmlformats.org/officeDocument/2006/relationships/hyperlink" Target="mailto:kma92@cornell.edu" TargetMode="External"/><Relationship Id="rId5" Type="http://schemas.openxmlformats.org/officeDocument/2006/relationships/hyperlink" Target="mailto:kma92@cornell.edu" TargetMode="External"/><Relationship Id="rId6" Type="http://schemas.openxmlformats.org/officeDocument/2006/relationships/hyperlink" Target="mailto:kma92@cornell.edu" TargetMode="External"/><Relationship Id="rId7" Type="http://schemas.openxmlformats.org/officeDocument/2006/relationships/hyperlink" Target="mailto:kma92@cornell.edu" TargetMode="External"/><Relationship Id="rId8" Type="http://schemas.openxmlformats.org/officeDocument/2006/relationships/hyperlink" Target="mailto:kma92@cornell.edu" TargetMode="External"/><Relationship Id="rId11" Type="http://schemas.openxmlformats.org/officeDocument/2006/relationships/hyperlink" Target="mailto:lgv22@cornell.edu" TargetMode="External"/><Relationship Id="rId33" Type="http://schemas.openxmlformats.org/officeDocument/2006/relationships/table" Target="../tables/table45.xml"/><Relationship Id="rId10" Type="http://schemas.openxmlformats.org/officeDocument/2006/relationships/hyperlink" Target="mailto:lgv22@cornell.edu" TargetMode="External"/><Relationship Id="rId32" Type="http://schemas.openxmlformats.org/officeDocument/2006/relationships/table" Target="../tables/table44.xml"/><Relationship Id="rId13" Type="http://schemas.openxmlformats.org/officeDocument/2006/relationships/hyperlink" Target="mailto:mm3348@cornell.edu" TargetMode="External"/><Relationship Id="rId35" Type="http://schemas.openxmlformats.org/officeDocument/2006/relationships/table" Target="../tables/table47.xml"/><Relationship Id="rId12" Type="http://schemas.openxmlformats.org/officeDocument/2006/relationships/hyperlink" Target="mailto:lgv22@cornell.edu" TargetMode="External"/><Relationship Id="rId34" Type="http://schemas.openxmlformats.org/officeDocument/2006/relationships/table" Target="../tables/table46.xml"/><Relationship Id="rId15" Type="http://schemas.openxmlformats.org/officeDocument/2006/relationships/hyperlink" Target="mailto:mm3348@cornell.edu" TargetMode="External"/><Relationship Id="rId37" Type="http://schemas.openxmlformats.org/officeDocument/2006/relationships/table" Target="../tables/table49.xml"/><Relationship Id="rId14" Type="http://schemas.openxmlformats.org/officeDocument/2006/relationships/hyperlink" Target="mailto:mm3348@cornell.edu" TargetMode="External"/><Relationship Id="rId36" Type="http://schemas.openxmlformats.org/officeDocument/2006/relationships/table" Target="../tables/table48.xml"/><Relationship Id="rId17" Type="http://schemas.openxmlformats.org/officeDocument/2006/relationships/hyperlink" Target="mailto:am3468@cornell.edu" TargetMode="External"/><Relationship Id="rId39" Type="http://schemas.openxmlformats.org/officeDocument/2006/relationships/table" Target="../tables/table51.xml"/><Relationship Id="rId16" Type="http://schemas.openxmlformats.org/officeDocument/2006/relationships/hyperlink" Target="mailto:am3468@cornell.edu" TargetMode="External"/><Relationship Id="rId38" Type="http://schemas.openxmlformats.org/officeDocument/2006/relationships/table" Target="../tables/table50.xml"/><Relationship Id="rId19" Type="http://schemas.openxmlformats.org/officeDocument/2006/relationships/hyperlink" Target="mailto:jk2964@cornell.edu" TargetMode="External"/><Relationship Id="rId18" Type="http://schemas.openxmlformats.org/officeDocument/2006/relationships/hyperlink" Target="mailto:jk2964@cornell.edu" TargetMode="Externa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7.xml"/><Relationship Id="rId1" Type="http://schemas.openxmlformats.org/officeDocument/2006/relationships/hyperlink" Target="mailto:jdk338@cornell.edu" TargetMode="External"/><Relationship Id="rId2" Type="http://schemas.openxmlformats.org/officeDocument/2006/relationships/hyperlink" Target="mailto:jdk338@cornell.edu" TargetMode="External"/><Relationship Id="rId3" Type="http://schemas.openxmlformats.org/officeDocument/2006/relationships/hyperlink" Target="mailto:jdk338@cornell.edu" TargetMode="External"/><Relationship Id="rId4" Type="http://schemas.openxmlformats.org/officeDocument/2006/relationships/hyperlink" Target="mailto:jdk338@cornell.edu" TargetMode="External"/><Relationship Id="rId9" Type="http://schemas.openxmlformats.org/officeDocument/2006/relationships/hyperlink" Target="mailto:cnh43@cornell.edu" TargetMode="External"/><Relationship Id="rId5" Type="http://schemas.openxmlformats.org/officeDocument/2006/relationships/hyperlink" Target="mailto:jdk338@cornell.edu" TargetMode="External"/><Relationship Id="rId6" Type="http://schemas.openxmlformats.org/officeDocument/2006/relationships/hyperlink" Target="mailto:jdk338@cornell.edu" TargetMode="External"/><Relationship Id="rId29" Type="http://schemas.openxmlformats.org/officeDocument/2006/relationships/table" Target="../tables/table52.xml"/><Relationship Id="rId7" Type="http://schemas.openxmlformats.org/officeDocument/2006/relationships/hyperlink" Target="mailto:cnh43@cornell.edu" TargetMode="External"/><Relationship Id="rId8" Type="http://schemas.openxmlformats.org/officeDocument/2006/relationships/hyperlink" Target="mailto:cnh43@cornell.edu" TargetMode="External"/><Relationship Id="rId31" Type="http://schemas.openxmlformats.org/officeDocument/2006/relationships/table" Target="../tables/table54.xml"/><Relationship Id="rId30" Type="http://schemas.openxmlformats.org/officeDocument/2006/relationships/table" Target="../tables/table53.xml"/><Relationship Id="rId11" Type="http://schemas.openxmlformats.org/officeDocument/2006/relationships/hyperlink" Target="mailto:jdk338@cornell.edu" TargetMode="External"/><Relationship Id="rId33" Type="http://schemas.openxmlformats.org/officeDocument/2006/relationships/table" Target="../tables/table56.xml"/><Relationship Id="rId10" Type="http://schemas.openxmlformats.org/officeDocument/2006/relationships/hyperlink" Target="mailto:cnh43@cornell.edu" TargetMode="External"/><Relationship Id="rId32" Type="http://schemas.openxmlformats.org/officeDocument/2006/relationships/table" Target="../tables/table55.xml"/><Relationship Id="rId13" Type="http://schemas.openxmlformats.org/officeDocument/2006/relationships/hyperlink" Target="mailto:jdk338@cornell.edu" TargetMode="External"/><Relationship Id="rId35" Type="http://schemas.openxmlformats.org/officeDocument/2006/relationships/table" Target="../tables/table58.xml"/><Relationship Id="rId12" Type="http://schemas.openxmlformats.org/officeDocument/2006/relationships/hyperlink" Target="mailto:jdk338@cornell.edu" TargetMode="External"/><Relationship Id="rId34" Type="http://schemas.openxmlformats.org/officeDocument/2006/relationships/table" Target="../tables/table57.xml"/><Relationship Id="rId15" Type="http://schemas.openxmlformats.org/officeDocument/2006/relationships/hyperlink" Target="mailto:jdk338@cornell.edu" TargetMode="External"/><Relationship Id="rId14" Type="http://schemas.openxmlformats.org/officeDocument/2006/relationships/hyperlink" Target="mailto:jdk338@cornell.edu" TargetMode="External"/><Relationship Id="rId36" Type="http://schemas.openxmlformats.org/officeDocument/2006/relationships/table" Target="../tables/table59.xml"/><Relationship Id="rId17" Type="http://schemas.openxmlformats.org/officeDocument/2006/relationships/hyperlink" Target="mailto:jdk338@cornell.edu" TargetMode="External"/><Relationship Id="rId16" Type="http://schemas.openxmlformats.org/officeDocument/2006/relationships/hyperlink" Target="mailto:jdk338@cornell.edu" TargetMode="External"/><Relationship Id="rId19" Type="http://schemas.openxmlformats.org/officeDocument/2006/relationships/hyperlink" Target="mailto:jdk338@cornell.edu" TargetMode="External"/><Relationship Id="rId18" Type="http://schemas.openxmlformats.org/officeDocument/2006/relationships/hyperlink" Target="mailto:jdk338@cornell.edu" TargetMode="Externa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hyperlink" Target="mailto:kec248@cornell.edu" TargetMode="External"/><Relationship Id="rId42" Type="http://schemas.openxmlformats.org/officeDocument/2006/relationships/table" Target="../tables/table61.xml"/><Relationship Id="rId41" Type="http://schemas.openxmlformats.org/officeDocument/2006/relationships/table" Target="../tables/table60.xml"/><Relationship Id="rId22" Type="http://schemas.openxmlformats.org/officeDocument/2006/relationships/hyperlink" Target="mailto:kec248@cornell.edu" TargetMode="External"/><Relationship Id="rId44" Type="http://schemas.openxmlformats.org/officeDocument/2006/relationships/table" Target="../tables/table63.xml"/><Relationship Id="rId21" Type="http://schemas.openxmlformats.org/officeDocument/2006/relationships/hyperlink" Target="mailto:kec248@cornell.edu" TargetMode="External"/><Relationship Id="rId43" Type="http://schemas.openxmlformats.org/officeDocument/2006/relationships/table" Target="../tables/table62.xml"/><Relationship Id="rId24" Type="http://schemas.openxmlformats.org/officeDocument/2006/relationships/hyperlink" Target="mailto:kec248@cornell.edu" TargetMode="External"/><Relationship Id="rId23" Type="http://schemas.openxmlformats.org/officeDocument/2006/relationships/hyperlink" Target="mailto:kec248@cornell.edu" TargetMode="External"/><Relationship Id="rId45" Type="http://schemas.openxmlformats.org/officeDocument/2006/relationships/table" Target="../tables/table64.xml"/><Relationship Id="rId1" Type="http://schemas.openxmlformats.org/officeDocument/2006/relationships/hyperlink" Target="mailto:kec248@cornell.edu" TargetMode="External"/><Relationship Id="rId2" Type="http://schemas.openxmlformats.org/officeDocument/2006/relationships/hyperlink" Target="mailto:kec248@cornell.edu" TargetMode="External"/><Relationship Id="rId3" Type="http://schemas.openxmlformats.org/officeDocument/2006/relationships/hyperlink" Target="mailto:kec248@cornell.edu" TargetMode="External"/><Relationship Id="rId4" Type="http://schemas.openxmlformats.org/officeDocument/2006/relationships/hyperlink" Target="mailto:kec248@cornell.edu" TargetMode="External"/><Relationship Id="rId9" Type="http://schemas.openxmlformats.org/officeDocument/2006/relationships/hyperlink" Target="mailto:kec248@cornell.edu" TargetMode="External"/><Relationship Id="rId26" Type="http://schemas.openxmlformats.org/officeDocument/2006/relationships/hyperlink" Target="mailto:kec248@cornell.edu" TargetMode="External"/><Relationship Id="rId25" Type="http://schemas.openxmlformats.org/officeDocument/2006/relationships/hyperlink" Target="mailto:kec248@cornell.edu" TargetMode="External"/><Relationship Id="rId28" Type="http://schemas.openxmlformats.org/officeDocument/2006/relationships/hyperlink" Target="mailto:kec248@cornell.edu" TargetMode="External"/><Relationship Id="rId27" Type="http://schemas.openxmlformats.org/officeDocument/2006/relationships/hyperlink" Target="mailto:kec248@cornell.edu" TargetMode="External"/><Relationship Id="rId5" Type="http://schemas.openxmlformats.org/officeDocument/2006/relationships/hyperlink" Target="mailto:kec248@cornell.edu" TargetMode="External"/><Relationship Id="rId6" Type="http://schemas.openxmlformats.org/officeDocument/2006/relationships/hyperlink" Target="mailto:kec248@cornell.edu" TargetMode="External"/><Relationship Id="rId29" Type="http://schemas.openxmlformats.org/officeDocument/2006/relationships/hyperlink" Target="mailto:kec248@cornell.edu" TargetMode="External"/><Relationship Id="rId7" Type="http://schemas.openxmlformats.org/officeDocument/2006/relationships/hyperlink" Target="mailto:kec248@cornell.edu" TargetMode="External"/><Relationship Id="rId8" Type="http://schemas.openxmlformats.org/officeDocument/2006/relationships/hyperlink" Target="mailto:kec248@cornell.edu" TargetMode="External"/><Relationship Id="rId31" Type="http://schemas.openxmlformats.org/officeDocument/2006/relationships/hyperlink" Target="mailto:kec248@cornell.edu" TargetMode="External"/><Relationship Id="rId30" Type="http://schemas.openxmlformats.org/officeDocument/2006/relationships/hyperlink" Target="mailto:kec248@cornell.edu" TargetMode="External"/><Relationship Id="rId11" Type="http://schemas.openxmlformats.org/officeDocument/2006/relationships/hyperlink" Target="mailto:kec248@cornell.edu" TargetMode="External"/><Relationship Id="rId33" Type="http://schemas.openxmlformats.org/officeDocument/2006/relationships/hyperlink" Target="mailto:kec248@cornell.edu" TargetMode="External"/><Relationship Id="rId10" Type="http://schemas.openxmlformats.org/officeDocument/2006/relationships/hyperlink" Target="mailto:kec248@cornell.edu" TargetMode="External"/><Relationship Id="rId32" Type="http://schemas.openxmlformats.org/officeDocument/2006/relationships/hyperlink" Target="mailto:kec248@cornell.edu" TargetMode="External"/><Relationship Id="rId13" Type="http://schemas.openxmlformats.org/officeDocument/2006/relationships/hyperlink" Target="mailto:kec248@cornell.edu" TargetMode="External"/><Relationship Id="rId35" Type="http://schemas.openxmlformats.org/officeDocument/2006/relationships/drawing" Target="../drawings/drawing18.xml"/><Relationship Id="rId12" Type="http://schemas.openxmlformats.org/officeDocument/2006/relationships/hyperlink" Target="mailto:kec248@cornell.edu" TargetMode="External"/><Relationship Id="rId34" Type="http://schemas.openxmlformats.org/officeDocument/2006/relationships/hyperlink" Target="mailto:kec248@cornell.edu" TargetMode="External"/><Relationship Id="rId15" Type="http://schemas.openxmlformats.org/officeDocument/2006/relationships/hyperlink" Target="mailto:kec248@cornell.edu" TargetMode="External"/><Relationship Id="rId14" Type="http://schemas.openxmlformats.org/officeDocument/2006/relationships/hyperlink" Target="mailto:kec248@cornell.edu" TargetMode="External"/><Relationship Id="rId17" Type="http://schemas.openxmlformats.org/officeDocument/2006/relationships/hyperlink" Target="mailto:kec248@cornell.edu" TargetMode="External"/><Relationship Id="rId16" Type="http://schemas.openxmlformats.org/officeDocument/2006/relationships/hyperlink" Target="mailto:kec248@cornell.edu" TargetMode="External"/><Relationship Id="rId19" Type="http://schemas.openxmlformats.org/officeDocument/2006/relationships/hyperlink" Target="mailto:kec248@cornell.edu" TargetMode="External"/><Relationship Id="rId18" Type="http://schemas.openxmlformats.org/officeDocument/2006/relationships/hyperlink" Target="mailto:kec248@cornell.edu" TargetMode="External"/></Relationships>
</file>

<file path=xl/worksheets/_rels/sheet19.xml.rels><?xml version="1.0" encoding="UTF-8" standalone="yes"?><Relationships xmlns="http://schemas.openxmlformats.org/package/2006/relationships"><Relationship Id="rId20" Type="http://schemas.openxmlformats.org/officeDocument/2006/relationships/hyperlink" Target="mailto:agj32@cornell.edu" TargetMode="External"/><Relationship Id="rId22" Type="http://schemas.openxmlformats.org/officeDocument/2006/relationships/hyperlink" Target="mailto:agj32@cornell.edu" TargetMode="External"/><Relationship Id="rId21" Type="http://schemas.openxmlformats.org/officeDocument/2006/relationships/hyperlink" Target="mailto:agj32@cornell.edu" TargetMode="External"/><Relationship Id="rId23" Type="http://schemas.openxmlformats.org/officeDocument/2006/relationships/drawing" Target="../drawings/drawing19.xml"/><Relationship Id="rId1" Type="http://schemas.openxmlformats.org/officeDocument/2006/relationships/hyperlink" Target="mailto:dr653@cornell.edu" TargetMode="External"/><Relationship Id="rId2" Type="http://schemas.openxmlformats.org/officeDocument/2006/relationships/hyperlink" Target="mailto:dr653@cornell.edu" TargetMode="External"/><Relationship Id="rId3" Type="http://schemas.openxmlformats.org/officeDocument/2006/relationships/hyperlink" Target="mailto:dr653@cornell.edu" TargetMode="External"/><Relationship Id="rId4" Type="http://schemas.openxmlformats.org/officeDocument/2006/relationships/hyperlink" Target="mailto:dhw78@cornell.edu" TargetMode="External"/><Relationship Id="rId9" Type="http://schemas.openxmlformats.org/officeDocument/2006/relationships/hyperlink" Target="mailto:dhw78@cornell.edu" TargetMode="External"/><Relationship Id="rId5" Type="http://schemas.openxmlformats.org/officeDocument/2006/relationships/hyperlink" Target="mailto:dhw78@cornell.edu" TargetMode="External"/><Relationship Id="rId6" Type="http://schemas.openxmlformats.org/officeDocument/2006/relationships/hyperlink" Target="mailto:dhw78@cornell.edu" TargetMode="External"/><Relationship Id="rId7" Type="http://schemas.openxmlformats.org/officeDocument/2006/relationships/hyperlink" Target="mailto:dhw78@cornell.edu" TargetMode="External"/><Relationship Id="rId8" Type="http://schemas.openxmlformats.org/officeDocument/2006/relationships/hyperlink" Target="mailto:dhw78@cornell.edu" TargetMode="External"/><Relationship Id="rId31" Type="http://schemas.openxmlformats.org/officeDocument/2006/relationships/table" Target="../tables/table65.xml"/><Relationship Id="rId11" Type="http://schemas.openxmlformats.org/officeDocument/2006/relationships/hyperlink" Target="mailto:dhw78@cornell.edu" TargetMode="External"/><Relationship Id="rId33" Type="http://schemas.openxmlformats.org/officeDocument/2006/relationships/table" Target="../tables/table67.xml"/><Relationship Id="rId10" Type="http://schemas.openxmlformats.org/officeDocument/2006/relationships/hyperlink" Target="mailto:dhw78@cornell.edu" TargetMode="External"/><Relationship Id="rId32" Type="http://schemas.openxmlformats.org/officeDocument/2006/relationships/table" Target="../tables/table66.xml"/><Relationship Id="rId13" Type="http://schemas.openxmlformats.org/officeDocument/2006/relationships/hyperlink" Target="mailto:agj32@cornell.edu" TargetMode="External"/><Relationship Id="rId35" Type="http://schemas.openxmlformats.org/officeDocument/2006/relationships/table" Target="../tables/table69.xml"/><Relationship Id="rId12" Type="http://schemas.openxmlformats.org/officeDocument/2006/relationships/hyperlink" Target="mailto:asm353@cornell.edu" TargetMode="External"/><Relationship Id="rId34" Type="http://schemas.openxmlformats.org/officeDocument/2006/relationships/table" Target="../tables/table68.xml"/><Relationship Id="rId15" Type="http://schemas.openxmlformats.org/officeDocument/2006/relationships/hyperlink" Target="mailto:agj32@cornell.edu" TargetMode="External"/><Relationship Id="rId37" Type="http://schemas.openxmlformats.org/officeDocument/2006/relationships/table" Target="../tables/table71.xml"/><Relationship Id="rId14" Type="http://schemas.openxmlformats.org/officeDocument/2006/relationships/hyperlink" Target="mailto:agj32@cornell.edu" TargetMode="External"/><Relationship Id="rId36" Type="http://schemas.openxmlformats.org/officeDocument/2006/relationships/table" Target="../tables/table70.xml"/><Relationship Id="rId17" Type="http://schemas.openxmlformats.org/officeDocument/2006/relationships/hyperlink" Target="mailto:agj32@cornell.edu" TargetMode="External"/><Relationship Id="rId16" Type="http://schemas.openxmlformats.org/officeDocument/2006/relationships/hyperlink" Target="mailto:agj32@cornell.edu" TargetMode="External"/><Relationship Id="rId19" Type="http://schemas.openxmlformats.org/officeDocument/2006/relationships/hyperlink" Target="mailto:agj32@cornell.edu" TargetMode="External"/><Relationship Id="rId18" Type="http://schemas.openxmlformats.org/officeDocument/2006/relationships/hyperlink" Target="mailto:agj32@cornell.edu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9" Type="http://schemas.openxmlformats.org/officeDocument/2006/relationships/table" Target="../tables/table74.xml"/><Relationship Id="rId7" Type="http://schemas.openxmlformats.org/officeDocument/2006/relationships/table" Target="../tables/table72.xml"/><Relationship Id="rId8" Type="http://schemas.openxmlformats.org/officeDocument/2006/relationships/table" Target="../tables/table73.xml"/><Relationship Id="rId11" Type="http://schemas.openxmlformats.org/officeDocument/2006/relationships/table" Target="../tables/table76.xml"/><Relationship Id="rId10" Type="http://schemas.openxmlformats.org/officeDocument/2006/relationships/table" Target="../tables/table75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11" Type="http://schemas.openxmlformats.org/officeDocument/2006/relationships/table" Target="../tables/table77.xml"/><Relationship Id="rId13" Type="http://schemas.openxmlformats.org/officeDocument/2006/relationships/table" Target="../tables/table79.xml"/><Relationship Id="rId12" Type="http://schemas.openxmlformats.org/officeDocument/2006/relationships/table" Target="../tables/table78.xml"/><Relationship Id="rId15" Type="http://schemas.openxmlformats.org/officeDocument/2006/relationships/table" Target="../tables/table81.xml"/><Relationship Id="rId14" Type="http://schemas.openxmlformats.org/officeDocument/2006/relationships/table" Target="../tables/table80.xml"/><Relationship Id="rId17" Type="http://schemas.openxmlformats.org/officeDocument/2006/relationships/table" Target="../tables/table83.xml"/><Relationship Id="rId16" Type="http://schemas.openxmlformats.org/officeDocument/2006/relationships/table" Target="../tables/table82.xml"/><Relationship Id="rId19" Type="http://schemas.openxmlformats.org/officeDocument/2006/relationships/table" Target="../tables/table85.xml"/><Relationship Id="rId18" Type="http://schemas.openxmlformats.org/officeDocument/2006/relationships/table" Target="../tables/table8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43.88"/>
    <col customWidth="1" min="3" max="3" width="16.38"/>
    <col customWidth="1" min="4" max="4" width="13.25"/>
    <col customWidth="1" min="5" max="5" width="51.38"/>
    <col customWidth="1" min="6" max="6" width="31.38"/>
  </cols>
  <sheetData>
    <row r="1" ht="22.5" customHeight="1">
      <c r="A1" s="4" t="s">
        <v>58</v>
      </c>
      <c r="B1" s="4" t="s">
        <v>59</v>
      </c>
      <c r="C1" s="4" t="s">
        <v>0</v>
      </c>
      <c r="D1" s="4" t="s">
        <v>60</v>
      </c>
      <c r="E1" s="4" t="s">
        <v>61</v>
      </c>
      <c r="F1" s="4" t="s">
        <v>62</v>
      </c>
    </row>
    <row r="2" ht="22.5" customHeight="1">
      <c r="A2" s="5" t="str">
        <f t="shared" ref="A2:A50" si="1">IF(C2="","",
SWITCH(C2,
"General","GE_M",
"Chassis","CH_M",
"Powertrain","PT_M",
"High Voltage","HV_M",
"Low Voltage","LV_M",
"Cooling","CO_M",
"Firmware","FW_M",
"Autonomy","AU_M",
"Aerodynamics","AE_M",
"Ergonomics","ER_M",
"Monocoque","MO_M",
"Suspension","SU_M",
"Unsprung","UN_M",
"Business","BU_M",
"")
&amp;
TEXT(COUNTIF($C$2:C2,C2),"000"))
</f>
        <v>GE_M001</v>
      </c>
      <c r="B2" s="5" t="s">
        <v>63</v>
      </c>
      <c r="C2" s="6" t="s">
        <v>64</v>
      </c>
      <c r="D2" s="6" t="s">
        <v>65</v>
      </c>
      <c r="E2" s="5" t="s">
        <v>66</v>
      </c>
      <c r="F2" s="5"/>
    </row>
    <row r="3" ht="22.5" customHeight="1">
      <c r="A3" s="5" t="str">
        <f t="shared" si="1"/>
        <v>GE_M002</v>
      </c>
      <c r="B3" s="5" t="s">
        <v>71</v>
      </c>
      <c r="C3" s="6" t="s">
        <v>64</v>
      </c>
      <c r="D3" s="6" t="s">
        <v>65</v>
      </c>
      <c r="E3" s="10"/>
      <c r="F3" s="10"/>
    </row>
    <row r="4" ht="22.5" customHeight="1">
      <c r="A4" s="5" t="str">
        <f t="shared" si="1"/>
        <v>GE_M003</v>
      </c>
      <c r="B4" s="5" t="s">
        <v>128</v>
      </c>
      <c r="C4" s="6" t="s">
        <v>64</v>
      </c>
      <c r="D4" s="6" t="s">
        <v>65</v>
      </c>
      <c r="E4" s="10"/>
      <c r="F4" s="10"/>
    </row>
    <row r="5" ht="22.5" customHeight="1">
      <c r="A5" s="5" t="str">
        <f t="shared" si="1"/>
        <v>GE_M004</v>
      </c>
      <c r="B5" s="5" t="s">
        <v>152</v>
      </c>
      <c r="C5" s="6" t="s">
        <v>64</v>
      </c>
      <c r="D5" s="6" t="s">
        <v>65</v>
      </c>
      <c r="E5" s="10"/>
      <c r="F5" s="10"/>
    </row>
    <row r="6" ht="22.5" customHeight="1">
      <c r="A6" s="5" t="str">
        <f t="shared" si="1"/>
        <v>PT_M001</v>
      </c>
      <c r="B6" s="5" t="s">
        <v>178</v>
      </c>
      <c r="C6" s="6" t="s">
        <v>83</v>
      </c>
      <c r="D6" s="6" t="s">
        <v>65</v>
      </c>
      <c r="E6" s="5" t="s">
        <v>186</v>
      </c>
      <c r="F6" s="10"/>
    </row>
    <row r="7" ht="22.5" customHeight="1">
      <c r="A7" s="5" t="str">
        <f t="shared" si="1"/>
        <v>CH_M001</v>
      </c>
      <c r="B7" s="5" t="s">
        <v>198</v>
      </c>
      <c r="C7" s="6" t="s">
        <v>78</v>
      </c>
      <c r="D7" s="6" t="s">
        <v>200</v>
      </c>
      <c r="E7" s="5" t="s">
        <v>201</v>
      </c>
      <c r="F7" s="5"/>
    </row>
    <row r="8" ht="22.5" customHeight="1">
      <c r="A8" s="5" t="str">
        <f t="shared" si="1"/>
        <v>CH_M002</v>
      </c>
      <c r="B8" s="5" t="s">
        <v>202</v>
      </c>
      <c r="C8" s="6" t="s">
        <v>78</v>
      </c>
      <c r="D8" s="6" t="s">
        <v>200</v>
      </c>
      <c r="E8" s="5" t="s">
        <v>205</v>
      </c>
      <c r="F8" s="10"/>
    </row>
    <row r="9" ht="22.5" customHeight="1">
      <c r="A9" s="5" t="str">
        <f t="shared" si="1"/>
        <v>MO_M001</v>
      </c>
      <c r="B9" s="5" t="s">
        <v>208</v>
      </c>
      <c r="C9" s="6" t="s">
        <v>112</v>
      </c>
      <c r="D9" s="6" t="s">
        <v>65</v>
      </c>
      <c r="E9" s="10"/>
      <c r="F9" s="10"/>
    </row>
    <row r="10" ht="22.5" customHeight="1">
      <c r="A10" s="5" t="str">
        <f t="shared" si="1"/>
        <v>ER_M001</v>
      </c>
      <c r="B10" s="5" t="s">
        <v>210</v>
      </c>
      <c r="C10" s="6" t="s">
        <v>109</v>
      </c>
      <c r="D10" s="6" t="s">
        <v>65</v>
      </c>
      <c r="E10" s="10"/>
      <c r="F10" s="10"/>
    </row>
    <row r="11" ht="22.5" customHeight="1">
      <c r="A11" s="5" t="str">
        <f t="shared" si="1"/>
        <v>MO_M002</v>
      </c>
      <c r="B11" s="5" t="s">
        <v>212</v>
      </c>
      <c r="C11" s="6" t="s">
        <v>112</v>
      </c>
      <c r="D11" s="6" t="s">
        <v>65</v>
      </c>
      <c r="E11" s="10"/>
      <c r="F11" s="10"/>
    </row>
    <row r="12" ht="22.5" customHeight="1">
      <c r="A12" s="5" t="str">
        <f t="shared" si="1"/>
        <v>HV_M001</v>
      </c>
      <c r="B12" s="5" t="s">
        <v>214</v>
      </c>
      <c r="C12" s="6" t="s">
        <v>88</v>
      </c>
      <c r="D12" s="6" t="s">
        <v>65</v>
      </c>
      <c r="E12" s="10"/>
      <c r="F12" s="10"/>
    </row>
    <row r="13" ht="22.5" customHeight="1">
      <c r="A13" s="5" t="str">
        <f t="shared" si="1"/>
        <v>GE_M005</v>
      </c>
      <c r="B13" s="5" t="s">
        <v>216</v>
      </c>
      <c r="C13" s="6" t="s">
        <v>64</v>
      </c>
      <c r="D13" s="6" t="s">
        <v>65</v>
      </c>
      <c r="E13" s="10"/>
      <c r="F13" s="10"/>
    </row>
    <row r="14" ht="22.5" customHeight="1">
      <c r="A14" s="5" t="str">
        <f t="shared" si="1"/>
        <v>AU_M001</v>
      </c>
      <c r="B14" s="5" t="s">
        <v>218</v>
      </c>
      <c r="C14" s="6" t="s">
        <v>103</v>
      </c>
      <c r="D14" s="6" t="s">
        <v>65</v>
      </c>
      <c r="E14" s="10"/>
      <c r="F14" s="10"/>
    </row>
    <row r="15" ht="22.5" customHeight="1">
      <c r="A15" s="5" t="str">
        <f t="shared" si="1"/>
        <v>AU_M002</v>
      </c>
      <c r="B15" s="5" t="s">
        <v>219</v>
      </c>
      <c r="C15" s="6" t="s">
        <v>103</v>
      </c>
      <c r="D15" s="6" t="s">
        <v>65</v>
      </c>
      <c r="E15" s="10"/>
      <c r="F15" s="10"/>
    </row>
    <row r="16" ht="22.5" customHeight="1">
      <c r="A16" s="5" t="str">
        <f t="shared" si="1"/>
        <v>AU_M003</v>
      </c>
      <c r="B16" s="5" t="s">
        <v>221</v>
      </c>
      <c r="C16" s="6" t="s">
        <v>103</v>
      </c>
      <c r="D16" s="6" t="s">
        <v>65</v>
      </c>
      <c r="E16" s="10"/>
      <c r="F16" s="10"/>
    </row>
    <row r="17" ht="22.5" customHeight="1">
      <c r="A17" s="5" t="str">
        <f t="shared" si="1"/>
        <v>ER_M002</v>
      </c>
      <c r="B17" s="5" t="s">
        <v>223</v>
      </c>
      <c r="C17" s="6" t="s">
        <v>109</v>
      </c>
      <c r="D17" s="6" t="s">
        <v>65</v>
      </c>
      <c r="E17" s="5" t="s">
        <v>224</v>
      </c>
      <c r="F17" s="10"/>
    </row>
    <row r="18" ht="22.5" customHeight="1">
      <c r="A18" s="5" t="str">
        <f t="shared" si="1"/>
        <v>LV_M001</v>
      </c>
      <c r="B18" s="5" t="s">
        <v>225</v>
      </c>
      <c r="C18" s="6" t="s">
        <v>93</v>
      </c>
      <c r="D18" s="6" t="s">
        <v>65</v>
      </c>
      <c r="E18" s="5" t="s">
        <v>227</v>
      </c>
      <c r="F18" s="10"/>
    </row>
    <row r="19" ht="22.5" customHeight="1">
      <c r="A19" s="5" t="str">
        <f t="shared" si="1"/>
        <v/>
      </c>
      <c r="B19" s="10"/>
      <c r="C19" s="6"/>
      <c r="D19" s="21"/>
      <c r="E19" s="10"/>
      <c r="F19" s="10"/>
    </row>
    <row r="20" ht="22.5" customHeight="1">
      <c r="A20" s="5" t="str">
        <f t="shared" si="1"/>
        <v/>
      </c>
      <c r="B20" s="10"/>
      <c r="C20" s="6"/>
      <c r="D20" s="22"/>
      <c r="E20" s="10"/>
      <c r="F20" s="10"/>
    </row>
    <row r="21" ht="22.5" customHeight="1">
      <c r="A21" s="5" t="str">
        <f t="shared" si="1"/>
        <v/>
      </c>
      <c r="B21" s="10"/>
      <c r="C21" s="6"/>
      <c r="D21" s="22"/>
      <c r="E21" s="10"/>
      <c r="F21" s="10"/>
    </row>
    <row r="22" ht="22.5" customHeight="1">
      <c r="A22" s="5" t="str">
        <f t="shared" si="1"/>
        <v/>
      </c>
      <c r="B22" s="10"/>
      <c r="C22" s="6"/>
      <c r="D22" s="22"/>
      <c r="E22" s="10"/>
      <c r="F22" s="10"/>
    </row>
    <row r="23" ht="22.5" customHeight="1">
      <c r="A23" s="5" t="str">
        <f t="shared" si="1"/>
        <v/>
      </c>
      <c r="B23" s="10"/>
      <c r="C23" s="6"/>
      <c r="D23" s="22"/>
      <c r="E23" s="10"/>
      <c r="F23" s="10"/>
    </row>
    <row r="24" ht="22.5" customHeight="1">
      <c r="A24" s="5" t="str">
        <f t="shared" si="1"/>
        <v/>
      </c>
      <c r="B24" s="10"/>
      <c r="C24" s="6"/>
      <c r="D24" s="22"/>
      <c r="E24" s="10"/>
      <c r="F24" s="10"/>
    </row>
    <row r="25" ht="22.5" customHeight="1">
      <c r="A25" s="5" t="str">
        <f t="shared" si="1"/>
        <v/>
      </c>
      <c r="B25" s="10"/>
      <c r="C25" s="6"/>
      <c r="D25" s="22"/>
      <c r="E25" s="10"/>
      <c r="F25" s="10"/>
    </row>
    <row r="26" ht="22.5" customHeight="1">
      <c r="A26" s="5" t="str">
        <f t="shared" si="1"/>
        <v/>
      </c>
      <c r="B26" s="10"/>
      <c r="C26" s="6"/>
      <c r="D26" s="22"/>
      <c r="E26" s="10"/>
      <c r="F26" s="10"/>
    </row>
    <row r="27" ht="22.5" customHeight="1">
      <c r="A27" s="5" t="str">
        <f t="shared" si="1"/>
        <v/>
      </c>
      <c r="B27" s="10"/>
      <c r="C27" s="6"/>
      <c r="D27" s="22"/>
      <c r="E27" s="10"/>
      <c r="F27" s="10"/>
    </row>
    <row r="28" ht="22.5" customHeight="1">
      <c r="A28" s="5" t="str">
        <f t="shared" si="1"/>
        <v/>
      </c>
      <c r="B28" s="10"/>
      <c r="C28" s="6"/>
      <c r="D28" s="22"/>
      <c r="E28" s="10"/>
      <c r="F28" s="10"/>
    </row>
    <row r="29" ht="22.5" customHeight="1">
      <c r="A29" s="5" t="str">
        <f t="shared" si="1"/>
        <v/>
      </c>
      <c r="B29" s="10"/>
      <c r="C29" s="6"/>
      <c r="D29" s="22"/>
      <c r="E29" s="10"/>
      <c r="F29" s="10"/>
    </row>
    <row r="30" ht="22.5" customHeight="1">
      <c r="A30" s="5" t="str">
        <f t="shared" si="1"/>
        <v/>
      </c>
      <c r="B30" s="10"/>
      <c r="C30" s="6"/>
      <c r="D30" s="22"/>
      <c r="E30" s="10"/>
      <c r="F30" s="10"/>
    </row>
    <row r="31" ht="22.5" customHeight="1">
      <c r="A31" s="5" t="str">
        <f t="shared" si="1"/>
        <v/>
      </c>
      <c r="B31" s="10"/>
      <c r="C31" s="6"/>
      <c r="D31" s="22"/>
      <c r="E31" s="10"/>
      <c r="F31" s="10"/>
    </row>
    <row r="32" ht="22.5" customHeight="1">
      <c r="A32" s="5" t="str">
        <f t="shared" si="1"/>
        <v/>
      </c>
      <c r="B32" s="10"/>
      <c r="C32" s="6"/>
      <c r="D32" s="22"/>
      <c r="E32" s="10"/>
      <c r="F32" s="10"/>
    </row>
    <row r="33" ht="22.5" customHeight="1">
      <c r="A33" s="5" t="str">
        <f t="shared" si="1"/>
        <v/>
      </c>
      <c r="B33" s="10"/>
      <c r="C33" s="6"/>
      <c r="D33" s="22"/>
      <c r="E33" s="10"/>
      <c r="F33" s="10"/>
    </row>
    <row r="34" ht="22.5" customHeight="1">
      <c r="A34" s="5" t="str">
        <f t="shared" si="1"/>
        <v/>
      </c>
      <c r="B34" s="10"/>
      <c r="C34" s="6"/>
      <c r="D34" s="22"/>
      <c r="E34" s="10"/>
      <c r="F34" s="10"/>
    </row>
    <row r="35" ht="22.5" customHeight="1">
      <c r="A35" s="5" t="str">
        <f t="shared" si="1"/>
        <v/>
      </c>
      <c r="B35" s="10"/>
      <c r="C35" s="6"/>
      <c r="D35" s="22"/>
      <c r="E35" s="10"/>
      <c r="F35" s="10"/>
    </row>
    <row r="36" ht="22.5" customHeight="1">
      <c r="A36" s="5" t="str">
        <f t="shared" si="1"/>
        <v/>
      </c>
      <c r="B36" s="10"/>
      <c r="C36" s="6"/>
      <c r="D36" s="22"/>
      <c r="E36" s="10"/>
      <c r="F36" s="10"/>
    </row>
    <row r="37" ht="22.5" customHeight="1">
      <c r="A37" s="5" t="str">
        <f t="shared" si="1"/>
        <v/>
      </c>
      <c r="B37" s="10"/>
      <c r="C37" s="6"/>
      <c r="D37" s="22"/>
      <c r="E37" s="10"/>
      <c r="F37" s="10"/>
    </row>
    <row r="38" ht="22.5" customHeight="1">
      <c r="A38" s="5" t="str">
        <f t="shared" si="1"/>
        <v/>
      </c>
      <c r="B38" s="10"/>
      <c r="C38" s="6"/>
      <c r="D38" s="22"/>
      <c r="E38" s="10"/>
      <c r="F38" s="10"/>
    </row>
    <row r="39" ht="22.5" customHeight="1">
      <c r="A39" s="5" t="str">
        <f t="shared" si="1"/>
        <v/>
      </c>
      <c r="B39" s="10"/>
      <c r="C39" s="6"/>
      <c r="D39" s="22"/>
      <c r="E39" s="10"/>
      <c r="F39" s="10"/>
    </row>
    <row r="40" ht="22.5" customHeight="1">
      <c r="A40" s="5" t="str">
        <f t="shared" si="1"/>
        <v/>
      </c>
      <c r="B40" s="10"/>
      <c r="C40" s="6"/>
      <c r="D40" s="22"/>
      <c r="E40" s="10"/>
      <c r="F40" s="10"/>
    </row>
    <row r="41" ht="22.5" customHeight="1">
      <c r="A41" s="5" t="str">
        <f t="shared" si="1"/>
        <v/>
      </c>
      <c r="B41" s="10"/>
      <c r="C41" s="6"/>
      <c r="D41" s="22"/>
      <c r="E41" s="10"/>
      <c r="F41" s="10"/>
    </row>
    <row r="42" ht="22.5" customHeight="1">
      <c r="A42" s="5" t="str">
        <f t="shared" si="1"/>
        <v/>
      </c>
      <c r="B42" s="10"/>
      <c r="C42" s="6"/>
      <c r="D42" s="22"/>
      <c r="E42" s="10"/>
      <c r="F42" s="10"/>
    </row>
    <row r="43" ht="22.5" customHeight="1">
      <c r="A43" s="5" t="str">
        <f t="shared" si="1"/>
        <v/>
      </c>
      <c r="B43" s="10"/>
      <c r="C43" s="6"/>
      <c r="D43" s="22"/>
      <c r="E43" s="10"/>
      <c r="F43" s="10"/>
    </row>
    <row r="44" ht="22.5" customHeight="1">
      <c r="A44" s="5" t="str">
        <f t="shared" si="1"/>
        <v/>
      </c>
      <c r="B44" s="10"/>
      <c r="C44" s="6"/>
      <c r="D44" s="22"/>
      <c r="E44" s="10"/>
      <c r="F44" s="10"/>
    </row>
    <row r="45" ht="22.5" customHeight="1">
      <c r="A45" s="5" t="str">
        <f t="shared" si="1"/>
        <v/>
      </c>
      <c r="B45" s="10"/>
      <c r="C45" s="6"/>
      <c r="D45" s="22"/>
      <c r="E45" s="10"/>
      <c r="F45" s="10"/>
    </row>
    <row r="46" ht="22.5" customHeight="1">
      <c r="A46" s="5" t="str">
        <f t="shared" si="1"/>
        <v/>
      </c>
      <c r="B46" s="10"/>
      <c r="C46" s="6"/>
      <c r="D46" s="22"/>
      <c r="E46" s="10"/>
      <c r="F46" s="10"/>
    </row>
    <row r="47" ht="22.5" customHeight="1">
      <c r="A47" s="5" t="str">
        <f t="shared" si="1"/>
        <v/>
      </c>
      <c r="B47" s="10"/>
      <c r="C47" s="6"/>
      <c r="D47" s="22"/>
      <c r="E47" s="10"/>
      <c r="F47" s="10"/>
    </row>
    <row r="48" ht="22.5" customHeight="1">
      <c r="A48" s="5" t="str">
        <f t="shared" si="1"/>
        <v/>
      </c>
      <c r="B48" s="10"/>
      <c r="C48" s="6"/>
      <c r="D48" s="22"/>
      <c r="E48" s="10"/>
      <c r="F48" s="10"/>
    </row>
    <row r="49" ht="22.5" customHeight="1">
      <c r="A49" s="5" t="str">
        <f t="shared" si="1"/>
        <v/>
      </c>
      <c r="B49" s="10"/>
      <c r="C49" s="6"/>
      <c r="D49" s="22"/>
      <c r="E49" s="10"/>
      <c r="F49" s="10"/>
    </row>
    <row r="50" ht="22.5" customHeight="1">
      <c r="A50" s="5" t="str">
        <f t="shared" si="1"/>
        <v/>
      </c>
      <c r="B50" s="10"/>
      <c r="C50" s="6"/>
      <c r="D50" s="22"/>
      <c r="E50" s="10"/>
      <c r="F50" s="10"/>
    </row>
  </sheetData>
  <dataValidations>
    <dataValidation type="list" allowBlank="1" sqref="D2:D50">
      <formula1>"On Track,At Risk,Delayed"</formula1>
    </dataValidation>
    <dataValidation allowBlank="1" showDropDown="1" sqref="A2:B50 E2:F50"/>
    <dataValidation type="list" allowBlank="1" sqref="C2:C50">
      <formula1>References!$A$2:$A$15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2">
        <v>46265.610905671296</v>
      </c>
      <c r="B2" s="1" t="s">
        <v>12</v>
      </c>
      <c r="C2" s="3">
        <v>46265.0</v>
      </c>
      <c r="F2" s="1" t="s">
        <v>13</v>
      </c>
      <c r="H2" s="1" t="s">
        <v>14</v>
      </c>
    </row>
    <row r="3">
      <c r="A3" s="2">
        <v>46265.61094377315</v>
      </c>
      <c r="B3" s="1" t="s">
        <v>15</v>
      </c>
      <c r="C3" s="3">
        <v>46265.0</v>
      </c>
      <c r="D3" s="1" t="s">
        <v>16</v>
      </c>
      <c r="F3" s="1" t="s">
        <v>17</v>
      </c>
      <c r="H3" s="1" t="s">
        <v>18</v>
      </c>
    </row>
    <row r="4">
      <c r="A4" s="2">
        <v>46265.61095260417</v>
      </c>
      <c r="B4" s="1" t="s">
        <v>15</v>
      </c>
      <c r="C4" s="3">
        <v>46265.0</v>
      </c>
      <c r="D4" s="1" t="s">
        <v>19</v>
      </c>
      <c r="F4" s="1" t="s">
        <v>17</v>
      </c>
      <c r="H4" s="1" t="s">
        <v>20</v>
      </c>
    </row>
    <row r="5">
      <c r="A5" s="2">
        <v>46265.61096052083</v>
      </c>
      <c r="B5" s="1" t="s">
        <v>15</v>
      </c>
      <c r="C5" s="3">
        <v>46265.0</v>
      </c>
      <c r="D5" s="1" t="s">
        <v>21</v>
      </c>
      <c r="F5" s="1" t="s">
        <v>17</v>
      </c>
      <c r="H5" s="1" t="s">
        <v>22</v>
      </c>
    </row>
    <row r="6">
      <c r="A6" s="2">
        <v>46265.61096907407</v>
      </c>
      <c r="B6" s="1" t="s">
        <v>15</v>
      </c>
      <c r="C6" s="3">
        <v>46265.0</v>
      </c>
      <c r="D6" s="1" t="s">
        <v>23</v>
      </c>
      <c r="F6" s="1" t="s">
        <v>17</v>
      </c>
      <c r="H6" s="1" t="s">
        <v>24</v>
      </c>
    </row>
    <row r="7">
      <c r="A7" s="2">
        <v>46265.61097701389</v>
      </c>
      <c r="B7" s="1" t="s">
        <v>15</v>
      </c>
      <c r="C7" s="3">
        <v>46265.0</v>
      </c>
      <c r="D7" s="1" t="s">
        <v>25</v>
      </c>
      <c r="F7" s="1" t="s">
        <v>17</v>
      </c>
      <c r="H7" s="1" t="s">
        <v>26</v>
      </c>
    </row>
    <row r="8">
      <c r="A8" s="2">
        <v>46265.61098517361</v>
      </c>
      <c r="B8" s="1" t="s">
        <v>15</v>
      </c>
      <c r="C8" s="3">
        <v>46265.0</v>
      </c>
      <c r="D8" s="1" t="s">
        <v>27</v>
      </c>
      <c r="F8" s="1" t="s">
        <v>17</v>
      </c>
      <c r="H8" s="1" t="s">
        <v>28</v>
      </c>
    </row>
    <row r="9">
      <c r="A9" s="2">
        <v>46265.61099939815</v>
      </c>
      <c r="B9" s="1" t="s">
        <v>15</v>
      </c>
      <c r="C9" s="3">
        <v>46265.0</v>
      </c>
      <c r="D9" s="1" t="s">
        <v>29</v>
      </c>
      <c r="F9" s="1" t="s">
        <v>17</v>
      </c>
      <c r="H9" s="1" t="s">
        <v>30</v>
      </c>
    </row>
    <row r="10">
      <c r="A10" s="2">
        <v>46265.61100774306</v>
      </c>
      <c r="B10" s="1" t="s">
        <v>15</v>
      </c>
      <c r="C10" s="3">
        <v>46265.0</v>
      </c>
      <c r="D10" s="1" t="s">
        <v>31</v>
      </c>
      <c r="F10" s="1" t="s">
        <v>17</v>
      </c>
      <c r="H10" s="1" t="s">
        <v>32</v>
      </c>
    </row>
    <row r="11">
      <c r="A11" s="2">
        <v>46265.611020868055</v>
      </c>
      <c r="B11" s="1" t="s">
        <v>15</v>
      </c>
      <c r="C11" s="3">
        <v>46265.0</v>
      </c>
      <c r="D11" s="1" t="s">
        <v>33</v>
      </c>
      <c r="F11" s="1" t="s">
        <v>17</v>
      </c>
      <c r="H11" s="1" t="s">
        <v>34</v>
      </c>
    </row>
    <row r="12">
      <c r="A12" s="2">
        <v>46265.611029594904</v>
      </c>
      <c r="B12" s="1" t="s">
        <v>15</v>
      </c>
      <c r="C12" s="3">
        <v>46265.0</v>
      </c>
      <c r="D12" s="1" t="s">
        <v>35</v>
      </c>
      <c r="F12" s="1" t="s">
        <v>17</v>
      </c>
      <c r="H12" s="1" t="s">
        <v>36</v>
      </c>
    </row>
    <row r="13">
      <c r="A13" s="2">
        <v>46265.611037442126</v>
      </c>
      <c r="B13" s="1" t="s">
        <v>15</v>
      </c>
      <c r="C13" s="3">
        <v>46265.0</v>
      </c>
      <c r="D13" s="1" t="s">
        <v>37</v>
      </c>
      <c r="F13" s="1" t="s">
        <v>17</v>
      </c>
      <c r="H13" s="1" t="s">
        <v>38</v>
      </c>
    </row>
    <row r="14">
      <c r="A14" s="2">
        <v>46265.61104563657</v>
      </c>
      <c r="B14" s="1" t="s">
        <v>15</v>
      </c>
      <c r="C14" s="3">
        <v>46265.0</v>
      </c>
      <c r="D14" s="1" t="s">
        <v>39</v>
      </c>
      <c r="F14" s="1" t="s">
        <v>17</v>
      </c>
      <c r="H14" s="1" t="s">
        <v>40</v>
      </c>
    </row>
    <row r="15">
      <c r="A15" s="2">
        <v>46265.61106393518</v>
      </c>
      <c r="B15" s="1" t="s">
        <v>15</v>
      </c>
      <c r="C15" s="3">
        <v>46265.0</v>
      </c>
      <c r="D15" s="1" t="s">
        <v>41</v>
      </c>
      <c r="F15" s="1" t="s">
        <v>17</v>
      </c>
      <c r="H15" s="1" t="s">
        <v>42</v>
      </c>
    </row>
    <row r="16">
      <c r="A16" s="2">
        <v>46265.611073356486</v>
      </c>
      <c r="B16" s="1" t="s">
        <v>15</v>
      </c>
      <c r="C16" s="3">
        <v>46265.0</v>
      </c>
      <c r="D16" s="1" t="s">
        <v>43</v>
      </c>
      <c r="F16" s="1" t="s">
        <v>17</v>
      </c>
      <c r="H16" s="1" t="s">
        <v>44</v>
      </c>
    </row>
    <row r="17">
      <c r="A17" s="2">
        <v>46265.61108120371</v>
      </c>
      <c r="B17" s="1" t="s">
        <v>15</v>
      </c>
      <c r="C17" s="3">
        <v>46265.0</v>
      </c>
      <c r="D17" s="1" t="s">
        <v>45</v>
      </c>
      <c r="F17" s="1" t="s">
        <v>17</v>
      </c>
      <c r="H17" s="1" t="s">
        <v>46</v>
      </c>
    </row>
    <row r="18">
      <c r="A18" s="2">
        <v>46265.61108901621</v>
      </c>
      <c r="B18" s="1" t="s">
        <v>15</v>
      </c>
      <c r="C18" s="3">
        <v>46265.0</v>
      </c>
      <c r="D18" s="1" t="s">
        <v>47</v>
      </c>
      <c r="F18" s="1" t="s">
        <v>17</v>
      </c>
      <c r="H18" s="1" t="s">
        <v>48</v>
      </c>
    </row>
    <row r="19">
      <c r="A19" s="2">
        <v>46265.6110971875</v>
      </c>
      <c r="B19" s="1" t="s">
        <v>12</v>
      </c>
      <c r="C19" s="3">
        <v>46265.0</v>
      </c>
      <c r="D19" s="1" t="s">
        <v>49</v>
      </c>
      <c r="F19" s="1" t="s">
        <v>50</v>
      </c>
      <c r="H19" s="1" t="s">
        <v>51</v>
      </c>
    </row>
    <row r="20">
      <c r="A20" s="2">
        <v>46265.611110046295</v>
      </c>
      <c r="B20" s="1" t="s">
        <v>12</v>
      </c>
      <c r="C20" s="3">
        <v>46265.0</v>
      </c>
      <c r="D20" s="1" t="s">
        <v>52</v>
      </c>
      <c r="F20" s="1" t="s">
        <v>50</v>
      </c>
      <c r="H20" s="1" t="s">
        <v>53</v>
      </c>
    </row>
    <row r="21">
      <c r="A21" s="2">
        <v>46265.61112290509</v>
      </c>
      <c r="B21" s="1" t="s">
        <v>12</v>
      </c>
      <c r="C21" s="3">
        <v>46265.0</v>
      </c>
      <c r="D21" s="1" t="s">
        <v>54</v>
      </c>
      <c r="F21" s="1" t="s">
        <v>50</v>
      </c>
      <c r="H21" s="1" t="s">
        <v>55</v>
      </c>
    </row>
    <row r="22">
      <c r="A22" s="2">
        <v>46265.611140995374</v>
      </c>
      <c r="B22" s="1" t="s">
        <v>12</v>
      </c>
      <c r="C22" s="3">
        <v>46265.0</v>
      </c>
      <c r="F22" s="1" t="s">
        <v>56</v>
      </c>
      <c r="H22" s="1" t="s">
        <v>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43.88"/>
    <col customWidth="1" min="3" max="3" width="16.38"/>
    <col customWidth="1" hidden="1" min="4" max="4" width="12.13"/>
    <col customWidth="1" min="5" max="5" width="11.75"/>
    <col customWidth="1" min="6" max="6" width="14.25"/>
    <col customWidth="1" min="7" max="7" width="19.38"/>
    <col customWidth="1" min="8" max="8" width="31.38"/>
  </cols>
  <sheetData>
    <row r="1" ht="22.5" customHeight="1">
      <c r="A1" s="4" t="s">
        <v>58</v>
      </c>
      <c r="B1" s="4" t="s">
        <v>67</v>
      </c>
      <c r="C1" s="4" t="s">
        <v>0</v>
      </c>
      <c r="D1" s="4" t="s">
        <v>68</v>
      </c>
      <c r="E1" s="4" t="s">
        <v>69</v>
      </c>
      <c r="F1" s="4" t="s">
        <v>60</v>
      </c>
      <c r="G1" s="8" t="s">
        <v>70</v>
      </c>
      <c r="H1" s="8" t="s">
        <v>62</v>
      </c>
    </row>
    <row r="2" ht="22.5" customHeight="1">
      <c r="A2" s="12" t="str">
        <f t="shared" ref="A2:A145" si="1">IF(C2="","",
SWITCH(C2,
"General","GE_M",
"Chassis","CH_M",
"Powertrain","PT_M",
"High Voltage","HV_M",
"Low Voltage","LV_M",
"Cooling","CO_M",
"Firmware","FW_M",
"Autonomy","AU_M",
"Aerodynamics","AE_M",
"Ergonomics","ER_M",
"Monocoque","MO_M",
"Suspension","SU_M",
"Unsprung","UN_M",
"Business","BU_M",
"")
&amp;
TEXT(COUNTIF($C$2:C2,C2),"000"))
</f>
        <v>GE_M001</v>
      </c>
      <c r="B2" s="12" t="s">
        <v>134</v>
      </c>
      <c r="C2" s="13" t="s">
        <v>64</v>
      </c>
      <c r="D2" s="14"/>
      <c r="E2" s="15">
        <v>46425.0</v>
      </c>
      <c r="F2" s="13" t="s">
        <v>75</v>
      </c>
      <c r="G2" s="16"/>
      <c r="H2" s="17"/>
    </row>
    <row r="3" ht="22.5" customHeight="1">
      <c r="A3" s="12" t="str">
        <f t="shared" si="1"/>
        <v>CH_M001</v>
      </c>
      <c r="B3" s="12" t="s">
        <v>183</v>
      </c>
      <c r="C3" s="13" t="s">
        <v>78</v>
      </c>
      <c r="D3" s="14"/>
      <c r="E3" s="15">
        <v>46412.0</v>
      </c>
      <c r="F3" s="13" t="s">
        <v>75</v>
      </c>
      <c r="G3" s="16"/>
      <c r="H3" s="17"/>
    </row>
    <row r="4" ht="22.5" customHeight="1">
      <c r="A4" s="12" t="str">
        <f t="shared" si="1"/>
        <v>PT_M001</v>
      </c>
      <c r="B4" s="12" t="s">
        <v>203</v>
      </c>
      <c r="C4" s="13" t="s">
        <v>83</v>
      </c>
      <c r="D4" s="14"/>
      <c r="E4" s="14"/>
      <c r="F4" s="13" t="s">
        <v>75</v>
      </c>
      <c r="G4" s="16"/>
      <c r="H4" s="17"/>
    </row>
    <row r="5" ht="22.5" customHeight="1">
      <c r="A5" s="12" t="str">
        <f t="shared" si="1"/>
        <v>GE_M002</v>
      </c>
      <c r="B5" s="12" t="s">
        <v>209</v>
      </c>
      <c r="C5" s="13" t="s">
        <v>64</v>
      </c>
      <c r="D5" s="14"/>
      <c r="E5" s="15">
        <v>46250.0</v>
      </c>
      <c r="F5" s="13" t="s">
        <v>95</v>
      </c>
      <c r="G5" s="16"/>
      <c r="H5" s="17"/>
    </row>
    <row r="6" ht="22.5" customHeight="1">
      <c r="A6" s="12" t="str">
        <f t="shared" si="1"/>
        <v>GE_M003</v>
      </c>
      <c r="B6" s="12" t="s">
        <v>211</v>
      </c>
      <c r="C6" s="13" t="s">
        <v>64</v>
      </c>
      <c r="D6" s="14"/>
      <c r="E6" s="15">
        <v>46279.0</v>
      </c>
      <c r="F6" s="13" t="s">
        <v>80</v>
      </c>
      <c r="G6" s="16"/>
      <c r="H6" s="12" t="s">
        <v>213</v>
      </c>
    </row>
    <row r="7" ht="22.5" customHeight="1">
      <c r="A7" s="12" t="str">
        <f t="shared" si="1"/>
        <v>GE_M004</v>
      </c>
      <c r="B7" s="12" t="s">
        <v>215</v>
      </c>
      <c r="C7" s="13" t="s">
        <v>64</v>
      </c>
      <c r="D7" s="14"/>
      <c r="E7" s="15">
        <v>46293.0</v>
      </c>
      <c r="F7" s="13" t="s">
        <v>75</v>
      </c>
      <c r="G7" s="16"/>
      <c r="H7" s="17"/>
    </row>
    <row r="8" ht="22.5" customHeight="1">
      <c r="A8" s="12" t="str">
        <f t="shared" si="1"/>
        <v>GE_M005</v>
      </c>
      <c r="B8" s="12" t="s">
        <v>217</v>
      </c>
      <c r="C8" s="13" t="s">
        <v>64</v>
      </c>
      <c r="D8" s="14"/>
      <c r="E8" s="15">
        <v>46320.0</v>
      </c>
      <c r="F8" s="13" t="s">
        <v>75</v>
      </c>
      <c r="G8" s="16"/>
      <c r="H8" s="17"/>
    </row>
    <row r="9" ht="22.5" customHeight="1">
      <c r="A9" s="12" t="str">
        <f t="shared" si="1"/>
        <v>GE_M006</v>
      </c>
      <c r="B9" s="12" t="s">
        <v>220</v>
      </c>
      <c r="C9" s="13" t="s">
        <v>64</v>
      </c>
      <c r="D9" s="14"/>
      <c r="E9" s="15">
        <v>46351.0</v>
      </c>
      <c r="F9" s="13" t="s">
        <v>75</v>
      </c>
      <c r="G9" s="16"/>
      <c r="H9" s="17"/>
    </row>
    <row r="10" ht="22.5" customHeight="1">
      <c r="A10" s="12" t="str">
        <f t="shared" si="1"/>
        <v>PT_M002</v>
      </c>
      <c r="B10" s="12" t="s">
        <v>222</v>
      </c>
      <c r="C10" s="13" t="s">
        <v>83</v>
      </c>
      <c r="D10" s="14"/>
      <c r="E10" s="15">
        <v>46235.0</v>
      </c>
      <c r="F10" s="13" t="s">
        <v>85</v>
      </c>
      <c r="G10" s="16"/>
      <c r="H10" s="17"/>
    </row>
    <row r="11" ht="22.5" customHeight="1">
      <c r="A11" s="12" t="str">
        <f t="shared" si="1"/>
        <v>PT_M003</v>
      </c>
      <c r="B11" s="12" t="s">
        <v>226</v>
      </c>
      <c r="C11" s="13" t="s">
        <v>83</v>
      </c>
      <c r="D11" s="14"/>
      <c r="E11" s="14"/>
      <c r="F11" s="13" t="s">
        <v>75</v>
      </c>
      <c r="G11" s="16"/>
      <c r="H11" s="17"/>
    </row>
    <row r="12" ht="22.5" customHeight="1">
      <c r="A12" s="12" t="str">
        <f t="shared" si="1"/>
        <v>PT_M004</v>
      </c>
      <c r="B12" s="12" t="s">
        <v>228</v>
      </c>
      <c r="C12" s="13" t="s">
        <v>83</v>
      </c>
      <c r="D12" s="14"/>
      <c r="E12" s="14"/>
      <c r="F12" s="13" t="s">
        <v>75</v>
      </c>
      <c r="G12" s="16"/>
      <c r="H12" s="17"/>
    </row>
    <row r="13" ht="22.5" customHeight="1">
      <c r="A13" s="12" t="str">
        <f t="shared" si="1"/>
        <v>PT_M005</v>
      </c>
      <c r="B13" s="12" t="s">
        <v>229</v>
      </c>
      <c r="C13" s="13" t="s">
        <v>83</v>
      </c>
      <c r="D13" s="14"/>
      <c r="E13" s="14"/>
      <c r="F13" s="13" t="s">
        <v>75</v>
      </c>
      <c r="G13" s="16"/>
      <c r="H13" s="17"/>
    </row>
    <row r="14" ht="22.5" customHeight="1">
      <c r="A14" s="12" t="str">
        <f t="shared" si="1"/>
        <v>GE_M007</v>
      </c>
      <c r="B14" s="12" t="s">
        <v>230</v>
      </c>
      <c r="C14" s="13" t="s">
        <v>64</v>
      </c>
      <c r="D14" s="14"/>
      <c r="E14" s="15">
        <v>46317.0</v>
      </c>
      <c r="F14" s="13" t="s">
        <v>75</v>
      </c>
      <c r="G14" s="16"/>
      <c r="H14" s="17"/>
    </row>
    <row r="15" ht="22.5" customHeight="1">
      <c r="A15" s="12" t="str">
        <f t="shared" si="1"/>
        <v>GE_M008</v>
      </c>
      <c r="B15" s="12" t="s">
        <v>231</v>
      </c>
      <c r="C15" s="13" t="s">
        <v>64</v>
      </c>
      <c r="D15" s="14"/>
      <c r="E15" s="14"/>
      <c r="F15" s="13" t="s">
        <v>75</v>
      </c>
      <c r="G15" s="16"/>
      <c r="H15" s="17"/>
    </row>
    <row r="16" ht="22.5" customHeight="1">
      <c r="A16" s="12" t="str">
        <f t="shared" si="1"/>
        <v>CH_M002</v>
      </c>
      <c r="B16" s="12" t="s">
        <v>232</v>
      </c>
      <c r="C16" s="13" t="s">
        <v>78</v>
      </c>
      <c r="D16" s="14"/>
      <c r="E16" s="15">
        <v>46314.0</v>
      </c>
      <c r="F16" s="13" t="s">
        <v>75</v>
      </c>
      <c r="G16" s="16"/>
      <c r="H16" s="17"/>
    </row>
    <row r="17" ht="22.5" customHeight="1">
      <c r="A17" s="12" t="str">
        <f t="shared" si="1"/>
        <v>HV_M001</v>
      </c>
      <c r="B17" s="12" t="s">
        <v>233</v>
      </c>
      <c r="C17" s="13" t="s">
        <v>88</v>
      </c>
      <c r="D17" s="14"/>
      <c r="E17" s="15">
        <v>46264.0</v>
      </c>
      <c r="F17" s="13" t="s">
        <v>75</v>
      </c>
      <c r="G17" s="13"/>
      <c r="H17" s="17"/>
    </row>
    <row r="18" ht="22.5" customHeight="1">
      <c r="A18" s="12" t="str">
        <f t="shared" si="1"/>
        <v>HV_M002</v>
      </c>
      <c r="B18" s="12" t="s">
        <v>234</v>
      </c>
      <c r="C18" s="13" t="s">
        <v>88</v>
      </c>
      <c r="D18" s="14"/>
      <c r="E18" s="15">
        <v>46252.0</v>
      </c>
      <c r="F18" s="13" t="s">
        <v>75</v>
      </c>
      <c r="G18" s="16"/>
      <c r="H18" s="17"/>
    </row>
    <row r="19" ht="22.5" customHeight="1">
      <c r="A19" s="12" t="str">
        <f t="shared" si="1"/>
        <v>HV_M003</v>
      </c>
      <c r="B19" s="12" t="s">
        <v>235</v>
      </c>
      <c r="C19" s="13" t="s">
        <v>88</v>
      </c>
      <c r="D19" s="14"/>
      <c r="E19" s="15">
        <v>46357.0</v>
      </c>
      <c r="F19" s="13" t="s">
        <v>75</v>
      </c>
      <c r="G19" s="16"/>
      <c r="H19" s="17"/>
    </row>
    <row r="20" ht="22.5" customHeight="1">
      <c r="A20" s="12" t="str">
        <f t="shared" si="1"/>
        <v>HV_M004</v>
      </c>
      <c r="B20" s="12" t="s">
        <v>236</v>
      </c>
      <c r="C20" s="13" t="s">
        <v>88</v>
      </c>
      <c r="D20" s="14"/>
      <c r="E20" s="15">
        <v>46357.0</v>
      </c>
      <c r="F20" s="13" t="s">
        <v>75</v>
      </c>
      <c r="G20" s="16"/>
      <c r="H20" s="17"/>
    </row>
    <row r="21" ht="22.5" customHeight="1">
      <c r="A21" s="12" t="str">
        <f t="shared" si="1"/>
        <v>HV_M005</v>
      </c>
      <c r="B21" s="12" t="s">
        <v>237</v>
      </c>
      <c r="C21" s="13" t="s">
        <v>88</v>
      </c>
      <c r="D21" s="14"/>
      <c r="E21" s="15">
        <v>46286.0</v>
      </c>
      <c r="F21" s="13" t="s">
        <v>75</v>
      </c>
      <c r="G21" s="16"/>
      <c r="H21" s="17"/>
    </row>
    <row r="22" ht="22.5" customHeight="1">
      <c r="A22" s="12" t="str">
        <f t="shared" si="1"/>
        <v>AU_M001</v>
      </c>
      <c r="B22" s="12" t="s">
        <v>238</v>
      </c>
      <c r="C22" s="13" t="s">
        <v>103</v>
      </c>
      <c r="D22" s="14"/>
      <c r="E22" s="15">
        <v>46312.0</v>
      </c>
      <c r="F22" s="13" t="s">
        <v>75</v>
      </c>
      <c r="G22" s="13"/>
      <c r="H22" s="17"/>
    </row>
    <row r="23" ht="22.5" customHeight="1">
      <c r="A23" s="12" t="str">
        <f t="shared" si="1"/>
        <v>AU_M002</v>
      </c>
      <c r="B23" s="12" t="s">
        <v>239</v>
      </c>
      <c r="C23" s="13" t="s">
        <v>103</v>
      </c>
      <c r="D23" s="14"/>
      <c r="E23" s="15">
        <v>46356.0</v>
      </c>
      <c r="F23" s="13" t="s">
        <v>75</v>
      </c>
      <c r="G23" s="13"/>
      <c r="H23" s="17"/>
    </row>
    <row r="24" ht="22.5" customHeight="1">
      <c r="A24" s="12" t="str">
        <f t="shared" si="1"/>
        <v>AU_M003</v>
      </c>
      <c r="B24" s="12" t="s">
        <v>240</v>
      </c>
      <c r="C24" s="13" t="s">
        <v>103</v>
      </c>
      <c r="D24" s="14"/>
      <c r="E24" s="15">
        <v>46440.0</v>
      </c>
      <c r="F24" s="13" t="s">
        <v>75</v>
      </c>
      <c r="G24" s="16"/>
      <c r="H24" s="17"/>
    </row>
    <row r="25" ht="22.5" customHeight="1">
      <c r="A25" s="12" t="str">
        <f t="shared" si="1"/>
        <v>AU_M004</v>
      </c>
      <c r="B25" s="12" t="s">
        <v>241</v>
      </c>
      <c r="C25" s="13" t="s">
        <v>103</v>
      </c>
      <c r="D25" s="14"/>
      <c r="E25" s="15">
        <v>46454.0</v>
      </c>
      <c r="F25" s="13" t="s">
        <v>75</v>
      </c>
      <c r="G25" s="13"/>
      <c r="H25" s="17"/>
    </row>
    <row r="26" ht="22.5" customHeight="1">
      <c r="A26" s="12" t="str">
        <f t="shared" si="1"/>
        <v>AU_M005</v>
      </c>
      <c r="B26" s="12" t="s">
        <v>242</v>
      </c>
      <c r="C26" s="13" t="s">
        <v>103</v>
      </c>
      <c r="D26" s="14"/>
      <c r="E26" s="15">
        <v>46482.0</v>
      </c>
      <c r="F26" s="13" t="s">
        <v>75</v>
      </c>
      <c r="G26" s="13"/>
      <c r="H26" s="17"/>
    </row>
    <row r="27" ht="22.5" customHeight="1">
      <c r="A27" s="12" t="str">
        <f t="shared" si="1"/>
        <v>AU_M006</v>
      </c>
      <c r="B27" s="12" t="s">
        <v>243</v>
      </c>
      <c r="C27" s="13" t="s">
        <v>103</v>
      </c>
      <c r="D27" s="14"/>
      <c r="E27" s="15">
        <v>46519.0</v>
      </c>
      <c r="F27" s="13" t="s">
        <v>75</v>
      </c>
      <c r="G27" s="13"/>
      <c r="H27" s="17"/>
    </row>
    <row r="28" ht="22.5" customHeight="1">
      <c r="A28" s="12" t="str">
        <f t="shared" si="1"/>
        <v>CO_M001</v>
      </c>
      <c r="B28" s="12" t="s">
        <v>244</v>
      </c>
      <c r="C28" s="13" t="s">
        <v>97</v>
      </c>
      <c r="D28" s="14"/>
      <c r="E28" s="15">
        <v>46402.0</v>
      </c>
      <c r="F28" s="13" t="s">
        <v>75</v>
      </c>
      <c r="G28" s="16"/>
      <c r="H28" s="17"/>
    </row>
    <row r="29" ht="22.5" customHeight="1">
      <c r="A29" s="12" t="str">
        <f t="shared" si="1"/>
        <v>CO_M002</v>
      </c>
      <c r="B29" s="12" t="s">
        <v>264</v>
      </c>
      <c r="C29" s="13" t="s">
        <v>97</v>
      </c>
      <c r="D29" s="14"/>
      <c r="E29" s="15">
        <v>46413.0</v>
      </c>
      <c r="F29" s="13" t="s">
        <v>75</v>
      </c>
      <c r="G29" s="16"/>
      <c r="H29" s="17"/>
    </row>
    <row r="30" ht="22.5" customHeight="1">
      <c r="A30" s="12" t="str">
        <f t="shared" si="1"/>
        <v>CO_M003</v>
      </c>
      <c r="B30" s="12" t="s">
        <v>289</v>
      </c>
      <c r="C30" s="13" t="s">
        <v>97</v>
      </c>
      <c r="D30" s="14"/>
      <c r="E30" s="15">
        <v>46407.0</v>
      </c>
      <c r="F30" s="13" t="s">
        <v>75</v>
      </c>
      <c r="G30" s="16"/>
      <c r="H30" s="17"/>
    </row>
    <row r="31" ht="22.5" customHeight="1">
      <c r="A31" s="12" t="str">
        <f t="shared" si="1"/>
        <v>CO_M004</v>
      </c>
      <c r="B31" s="12" t="s">
        <v>315</v>
      </c>
      <c r="C31" s="13" t="s">
        <v>97</v>
      </c>
      <c r="D31" s="14"/>
      <c r="E31" s="15">
        <v>46400.0</v>
      </c>
      <c r="F31" s="13" t="s">
        <v>75</v>
      </c>
      <c r="G31" s="16"/>
      <c r="H31" s="17"/>
    </row>
    <row r="32" ht="22.5" customHeight="1">
      <c r="A32" s="12" t="str">
        <f t="shared" si="1"/>
        <v>CO_M005</v>
      </c>
      <c r="B32" s="12" t="s">
        <v>349</v>
      </c>
      <c r="C32" s="13" t="s">
        <v>97</v>
      </c>
      <c r="D32" s="14"/>
      <c r="E32" s="15">
        <v>46367.0</v>
      </c>
      <c r="F32" s="13" t="s">
        <v>75</v>
      </c>
      <c r="G32" s="16"/>
      <c r="H32" s="17"/>
    </row>
    <row r="33" ht="22.5" customHeight="1">
      <c r="A33" s="12" t="str">
        <f t="shared" si="1"/>
        <v>CO_M006</v>
      </c>
      <c r="B33" s="12" t="s">
        <v>374</v>
      </c>
      <c r="C33" s="13" t="s">
        <v>97</v>
      </c>
      <c r="D33" s="14"/>
      <c r="E33" s="15">
        <v>46312.0</v>
      </c>
      <c r="F33" s="13" t="s">
        <v>75</v>
      </c>
      <c r="G33" s="16"/>
      <c r="H33" s="17"/>
    </row>
    <row r="34" ht="22.5" customHeight="1">
      <c r="A34" s="12" t="str">
        <f t="shared" si="1"/>
        <v>CO_M007</v>
      </c>
      <c r="B34" s="12" t="s">
        <v>404</v>
      </c>
      <c r="C34" s="13" t="s">
        <v>97</v>
      </c>
      <c r="D34" s="14"/>
      <c r="E34" s="15">
        <v>46305.0</v>
      </c>
      <c r="F34" s="13" t="s">
        <v>75</v>
      </c>
      <c r="G34" s="16"/>
      <c r="H34" s="17"/>
    </row>
    <row r="35" ht="22.5" customHeight="1">
      <c r="A35" s="12" t="str">
        <f t="shared" si="1"/>
        <v>CO_M008</v>
      </c>
      <c r="B35" s="12" t="s">
        <v>431</v>
      </c>
      <c r="C35" s="13" t="s">
        <v>97</v>
      </c>
      <c r="D35" s="14"/>
      <c r="E35" s="15">
        <v>46291.0</v>
      </c>
      <c r="F35" s="13" t="s">
        <v>75</v>
      </c>
      <c r="G35" s="16"/>
      <c r="H35" s="17"/>
    </row>
    <row r="36" ht="22.5" customHeight="1">
      <c r="A36" s="12" t="str">
        <f t="shared" si="1"/>
        <v>CO_M009</v>
      </c>
      <c r="B36" s="12" t="s">
        <v>458</v>
      </c>
      <c r="C36" s="13" t="s">
        <v>97</v>
      </c>
      <c r="D36" s="14"/>
      <c r="E36" s="15">
        <v>46284.0</v>
      </c>
      <c r="F36" s="13" t="s">
        <v>75</v>
      </c>
      <c r="G36" s="16"/>
      <c r="H36" s="17"/>
    </row>
    <row r="37" ht="22.5" customHeight="1">
      <c r="A37" s="12" t="str">
        <f t="shared" si="1"/>
        <v>CO_M010</v>
      </c>
      <c r="B37" s="12" t="s">
        <v>479</v>
      </c>
      <c r="C37" s="13" t="s">
        <v>97</v>
      </c>
      <c r="D37" s="14"/>
      <c r="E37" s="15">
        <v>46276.0</v>
      </c>
      <c r="F37" s="13" t="s">
        <v>75</v>
      </c>
      <c r="G37" s="16"/>
      <c r="H37" s="17"/>
    </row>
    <row r="38" ht="22.5" customHeight="1">
      <c r="A38" s="12" t="str">
        <f t="shared" si="1"/>
        <v>CO_M011</v>
      </c>
      <c r="B38" s="12" t="s">
        <v>496</v>
      </c>
      <c r="C38" s="13" t="s">
        <v>97</v>
      </c>
      <c r="D38" s="14"/>
      <c r="E38" s="15">
        <v>46266.0</v>
      </c>
      <c r="F38" s="13" t="s">
        <v>75</v>
      </c>
      <c r="G38" s="16"/>
      <c r="H38" s="17"/>
    </row>
    <row r="39" ht="22.5" customHeight="1">
      <c r="A39" s="12" t="str">
        <f t="shared" si="1"/>
        <v>SU_M001</v>
      </c>
      <c r="B39" s="12" t="s">
        <v>512</v>
      </c>
      <c r="C39" s="13" t="s">
        <v>115</v>
      </c>
      <c r="D39" s="14"/>
      <c r="E39" s="15">
        <v>46271.0</v>
      </c>
      <c r="F39" s="13" t="s">
        <v>75</v>
      </c>
      <c r="G39" s="16"/>
      <c r="H39" s="12" t="s">
        <v>522</v>
      </c>
    </row>
    <row r="40" ht="22.5" customHeight="1">
      <c r="A40" s="12" t="str">
        <f t="shared" si="1"/>
        <v>SU_M002</v>
      </c>
      <c r="B40" s="12" t="s">
        <v>533</v>
      </c>
      <c r="C40" s="13" t="s">
        <v>115</v>
      </c>
      <c r="D40" s="14"/>
      <c r="E40" s="15">
        <v>46280.0</v>
      </c>
      <c r="F40" s="13" t="s">
        <v>75</v>
      </c>
      <c r="G40" s="16"/>
      <c r="H40" s="17"/>
    </row>
    <row r="41" ht="22.5" customHeight="1">
      <c r="A41" s="12" t="str">
        <f t="shared" si="1"/>
        <v>SU_M003</v>
      </c>
      <c r="B41" s="12" t="s">
        <v>546</v>
      </c>
      <c r="C41" s="13" t="s">
        <v>115</v>
      </c>
      <c r="D41" s="14"/>
      <c r="E41" s="15">
        <v>46293.0</v>
      </c>
      <c r="F41" s="13" t="s">
        <v>75</v>
      </c>
      <c r="G41" s="16"/>
      <c r="H41" s="17"/>
    </row>
    <row r="42" ht="22.5" customHeight="1">
      <c r="A42" s="12" t="str">
        <f t="shared" si="1"/>
        <v>SU_M004</v>
      </c>
      <c r="B42" s="12" t="s">
        <v>565</v>
      </c>
      <c r="C42" s="13" t="s">
        <v>115</v>
      </c>
      <c r="D42" s="14"/>
      <c r="E42" s="15">
        <v>46293.0</v>
      </c>
      <c r="F42" s="13" t="s">
        <v>75</v>
      </c>
      <c r="G42" s="16"/>
      <c r="H42" s="17"/>
    </row>
    <row r="43" ht="22.5" customHeight="1">
      <c r="A43" s="12" t="str">
        <f t="shared" si="1"/>
        <v>SU_M005</v>
      </c>
      <c r="B43" s="12" t="s">
        <v>578</v>
      </c>
      <c r="C43" s="13" t="s">
        <v>115</v>
      </c>
      <c r="D43" s="14"/>
      <c r="E43" s="15">
        <v>46293.0</v>
      </c>
      <c r="F43" s="13" t="s">
        <v>75</v>
      </c>
      <c r="G43" s="16"/>
      <c r="H43" s="17"/>
    </row>
    <row r="44" ht="22.5" customHeight="1">
      <c r="A44" s="12" t="str">
        <f t="shared" si="1"/>
        <v>SU_M006</v>
      </c>
      <c r="B44" s="12" t="s">
        <v>591</v>
      </c>
      <c r="C44" s="13" t="s">
        <v>115</v>
      </c>
      <c r="D44" s="14"/>
      <c r="E44" s="15">
        <v>46271.0</v>
      </c>
      <c r="F44" s="13" t="s">
        <v>75</v>
      </c>
      <c r="G44" s="16"/>
      <c r="H44" s="12" t="s">
        <v>597</v>
      </c>
    </row>
    <row r="45" ht="22.5" customHeight="1">
      <c r="A45" s="12" t="str">
        <f t="shared" si="1"/>
        <v>SU_M007</v>
      </c>
      <c r="B45" s="12" t="s">
        <v>605</v>
      </c>
      <c r="C45" s="13" t="s">
        <v>115</v>
      </c>
      <c r="D45" s="14"/>
      <c r="E45" s="15">
        <v>46411.0</v>
      </c>
      <c r="F45" s="13" t="s">
        <v>75</v>
      </c>
      <c r="G45" s="16"/>
      <c r="H45" s="17"/>
    </row>
    <row r="46" ht="22.5" customHeight="1">
      <c r="A46" s="12" t="str">
        <f t="shared" si="1"/>
        <v>SU_M008</v>
      </c>
      <c r="B46" s="12" t="s">
        <v>618</v>
      </c>
      <c r="C46" s="13" t="s">
        <v>115</v>
      </c>
      <c r="D46" s="14"/>
      <c r="E46" s="15">
        <v>46286.0</v>
      </c>
      <c r="F46" s="13" t="s">
        <v>75</v>
      </c>
      <c r="G46" s="16"/>
      <c r="H46" s="17"/>
    </row>
    <row r="47" ht="22.5" customHeight="1">
      <c r="A47" s="12" t="str">
        <f t="shared" si="1"/>
        <v>SU_M009</v>
      </c>
      <c r="B47" s="12" t="s">
        <v>633</v>
      </c>
      <c r="C47" s="13" t="s">
        <v>115</v>
      </c>
      <c r="D47" s="14"/>
      <c r="E47" s="15">
        <v>46266.0</v>
      </c>
      <c r="F47" s="13" t="s">
        <v>75</v>
      </c>
      <c r="G47" s="16"/>
      <c r="H47" s="17"/>
    </row>
    <row r="48" ht="22.5" customHeight="1">
      <c r="A48" s="12" t="str">
        <f t="shared" si="1"/>
        <v>SU_M010</v>
      </c>
      <c r="B48" s="12" t="s">
        <v>651</v>
      </c>
      <c r="C48" s="13" t="s">
        <v>115</v>
      </c>
      <c r="D48" s="14"/>
      <c r="E48" s="15">
        <v>46264.0</v>
      </c>
      <c r="F48" s="13" t="s">
        <v>75</v>
      </c>
      <c r="G48" s="16"/>
      <c r="H48" s="12" t="s">
        <v>658</v>
      </c>
    </row>
    <row r="49" ht="22.5" customHeight="1">
      <c r="A49" s="12" t="str">
        <f t="shared" si="1"/>
        <v>GE_M009</v>
      </c>
      <c r="B49" s="12" t="s">
        <v>674</v>
      </c>
      <c r="C49" s="13" t="s">
        <v>64</v>
      </c>
      <c r="D49" s="14"/>
      <c r="E49" s="14"/>
      <c r="F49" s="13" t="s">
        <v>80</v>
      </c>
      <c r="G49" s="16"/>
      <c r="H49" s="17"/>
    </row>
    <row r="50" ht="22.5" customHeight="1">
      <c r="A50" s="12" t="str">
        <f t="shared" si="1"/>
        <v>FW_M001</v>
      </c>
      <c r="B50" s="12" t="s">
        <v>688</v>
      </c>
      <c r="C50" s="13" t="s">
        <v>100</v>
      </c>
      <c r="D50" s="14"/>
      <c r="E50" s="14"/>
      <c r="F50" s="13" t="s">
        <v>75</v>
      </c>
      <c r="G50" s="16"/>
      <c r="H50" s="17"/>
    </row>
    <row r="51" ht="22.5" customHeight="1">
      <c r="A51" s="12" t="str">
        <f t="shared" si="1"/>
        <v>HV_M006</v>
      </c>
      <c r="B51" s="12" t="s">
        <v>709</v>
      </c>
      <c r="C51" s="13" t="s">
        <v>88</v>
      </c>
      <c r="D51" s="14"/>
      <c r="E51" s="15">
        <v>46296.0</v>
      </c>
      <c r="F51" s="13" t="s">
        <v>75</v>
      </c>
      <c r="G51" s="16"/>
      <c r="H51" s="17"/>
    </row>
    <row r="52" ht="22.5" customHeight="1">
      <c r="A52" s="12" t="str">
        <f t="shared" si="1"/>
        <v>HV_M007</v>
      </c>
      <c r="B52" s="12" t="s">
        <v>712</v>
      </c>
      <c r="C52" s="13" t="s">
        <v>88</v>
      </c>
      <c r="D52" s="14"/>
      <c r="E52" s="15">
        <v>46260.0</v>
      </c>
      <c r="F52" s="13" t="s">
        <v>75</v>
      </c>
      <c r="G52" s="16"/>
      <c r="H52" s="17"/>
    </row>
    <row r="53" ht="22.5" customHeight="1">
      <c r="A53" s="12" t="str">
        <f t="shared" si="1"/>
        <v>HV_M008</v>
      </c>
      <c r="B53" s="12" t="s">
        <v>713</v>
      </c>
      <c r="C53" s="13" t="s">
        <v>88</v>
      </c>
      <c r="D53" s="14"/>
      <c r="E53" s="15">
        <v>46266.0</v>
      </c>
      <c r="F53" s="13" t="s">
        <v>75</v>
      </c>
      <c r="G53" s="16"/>
      <c r="H53" s="17"/>
    </row>
    <row r="54" ht="22.5" customHeight="1">
      <c r="A54" s="12" t="str">
        <f t="shared" si="1"/>
        <v>HV_M009</v>
      </c>
      <c r="B54" s="12" t="s">
        <v>714</v>
      </c>
      <c r="C54" s="13" t="s">
        <v>88</v>
      </c>
      <c r="D54" s="14"/>
      <c r="E54" s="15">
        <v>46280.0</v>
      </c>
      <c r="F54" s="13" t="s">
        <v>75</v>
      </c>
      <c r="G54" s="16"/>
      <c r="H54" s="17"/>
    </row>
    <row r="55" ht="22.5" customHeight="1">
      <c r="A55" s="12" t="str">
        <f t="shared" si="1"/>
        <v>HV_M010</v>
      </c>
      <c r="B55" s="12" t="s">
        <v>716</v>
      </c>
      <c r="C55" s="13" t="s">
        <v>88</v>
      </c>
      <c r="D55" s="14"/>
      <c r="E55" s="15">
        <v>46266.0</v>
      </c>
      <c r="F55" s="13" t="s">
        <v>75</v>
      </c>
      <c r="G55" s="16"/>
      <c r="H55" s="17"/>
    </row>
    <row r="56" ht="22.5" customHeight="1">
      <c r="A56" s="12" t="str">
        <f t="shared" si="1"/>
        <v>HV_M011</v>
      </c>
      <c r="B56" s="12" t="s">
        <v>717</v>
      </c>
      <c r="C56" s="13" t="s">
        <v>88</v>
      </c>
      <c r="D56" s="14"/>
      <c r="E56" s="15">
        <v>46272.0</v>
      </c>
      <c r="F56" s="13" t="s">
        <v>75</v>
      </c>
      <c r="G56" s="16"/>
      <c r="H56" s="17"/>
    </row>
    <row r="57" ht="22.5" customHeight="1">
      <c r="A57" s="12" t="str">
        <f t="shared" si="1"/>
        <v>HV_M012</v>
      </c>
      <c r="B57" s="12" t="s">
        <v>718</v>
      </c>
      <c r="C57" s="13" t="s">
        <v>88</v>
      </c>
      <c r="D57" s="14"/>
      <c r="E57" s="15">
        <v>46274.0</v>
      </c>
      <c r="F57" s="13" t="s">
        <v>75</v>
      </c>
      <c r="G57" s="16"/>
      <c r="H57" s="17"/>
    </row>
    <row r="58" ht="22.5" customHeight="1">
      <c r="A58" s="12" t="str">
        <f t="shared" si="1"/>
        <v>HV_M013</v>
      </c>
      <c r="B58" s="12" t="s">
        <v>719</v>
      </c>
      <c r="C58" s="13" t="s">
        <v>88</v>
      </c>
      <c r="D58" s="14"/>
      <c r="E58" s="15">
        <v>46327.0</v>
      </c>
      <c r="F58" s="13" t="s">
        <v>75</v>
      </c>
      <c r="G58" s="16"/>
      <c r="H58" s="17"/>
    </row>
    <row r="59" ht="22.5" customHeight="1">
      <c r="A59" s="12" t="str">
        <f t="shared" si="1"/>
        <v>MO_M001</v>
      </c>
      <c r="B59" s="12" t="s">
        <v>720</v>
      </c>
      <c r="C59" s="13" t="s">
        <v>112</v>
      </c>
      <c r="D59" s="14"/>
      <c r="E59" s="15">
        <v>46211.0</v>
      </c>
      <c r="F59" s="13" t="s">
        <v>95</v>
      </c>
      <c r="G59" s="16"/>
      <c r="H59" s="17"/>
    </row>
    <row r="60" ht="22.5" customHeight="1">
      <c r="A60" s="12" t="str">
        <f t="shared" si="1"/>
        <v>MO_M002</v>
      </c>
      <c r="B60" s="12" t="s">
        <v>721</v>
      </c>
      <c r="C60" s="13" t="s">
        <v>112</v>
      </c>
      <c r="D60" s="14"/>
      <c r="E60" s="15">
        <v>46248.0</v>
      </c>
      <c r="F60" s="13" t="s">
        <v>80</v>
      </c>
      <c r="G60" s="13"/>
      <c r="H60" s="17"/>
    </row>
    <row r="61" ht="22.5" customHeight="1">
      <c r="A61" s="12" t="str">
        <f t="shared" si="1"/>
        <v>MO_M003</v>
      </c>
      <c r="B61" s="12" t="s">
        <v>722</v>
      </c>
      <c r="C61" s="13" t="s">
        <v>112</v>
      </c>
      <c r="D61" s="14"/>
      <c r="E61" s="15">
        <v>46272.0</v>
      </c>
      <c r="F61" s="13" t="s">
        <v>80</v>
      </c>
      <c r="G61" s="16"/>
      <c r="H61" s="17"/>
    </row>
    <row r="62" ht="22.5" customHeight="1">
      <c r="A62" s="12" t="str">
        <f t="shared" si="1"/>
        <v>MO_M004</v>
      </c>
      <c r="B62" s="12" t="s">
        <v>723</v>
      </c>
      <c r="C62" s="13" t="s">
        <v>112</v>
      </c>
      <c r="D62" s="14"/>
      <c r="E62" s="15">
        <v>46314.0</v>
      </c>
      <c r="F62" s="13" t="s">
        <v>75</v>
      </c>
      <c r="G62" s="16"/>
      <c r="H62" s="12" t="s">
        <v>724</v>
      </c>
    </row>
    <row r="63" ht="22.5" customHeight="1">
      <c r="A63" s="12" t="str">
        <f t="shared" si="1"/>
        <v>MO_M005</v>
      </c>
      <c r="B63" s="12" t="s">
        <v>725</v>
      </c>
      <c r="C63" s="13" t="s">
        <v>112</v>
      </c>
      <c r="D63" s="14"/>
      <c r="E63" s="14"/>
      <c r="F63" s="13" t="s">
        <v>75</v>
      </c>
      <c r="G63" s="16"/>
      <c r="H63" s="17"/>
    </row>
    <row r="64" ht="22.5" customHeight="1">
      <c r="A64" s="12" t="str">
        <f t="shared" si="1"/>
        <v>MO_M006</v>
      </c>
      <c r="B64" s="12" t="s">
        <v>726</v>
      </c>
      <c r="C64" s="13" t="s">
        <v>112</v>
      </c>
      <c r="D64" s="14"/>
      <c r="E64" s="14"/>
      <c r="F64" s="13" t="s">
        <v>75</v>
      </c>
      <c r="G64" s="16"/>
      <c r="H64" s="17"/>
    </row>
    <row r="65" ht="22.5" customHeight="1">
      <c r="A65" s="12" t="str">
        <f t="shared" si="1"/>
        <v>MO_M007</v>
      </c>
      <c r="B65" s="12" t="s">
        <v>727</v>
      </c>
      <c r="C65" s="13" t="s">
        <v>112</v>
      </c>
      <c r="D65" s="14"/>
      <c r="E65" s="15">
        <v>46345.0</v>
      </c>
      <c r="F65" s="13" t="s">
        <v>75</v>
      </c>
      <c r="G65" s="16"/>
      <c r="H65" s="17"/>
    </row>
    <row r="66" ht="22.5" customHeight="1">
      <c r="A66" s="12" t="str">
        <f t="shared" si="1"/>
        <v>GE_M010</v>
      </c>
      <c r="B66" s="12" t="s">
        <v>728</v>
      </c>
      <c r="C66" s="13" t="s">
        <v>64</v>
      </c>
      <c r="D66" s="14"/>
      <c r="E66" s="15">
        <v>46270.0</v>
      </c>
      <c r="F66" s="13" t="s">
        <v>75</v>
      </c>
      <c r="G66" s="16"/>
      <c r="H66" s="17"/>
    </row>
    <row r="67" ht="22.5" customHeight="1">
      <c r="A67" s="12" t="str">
        <f t="shared" si="1"/>
        <v>MO_M008</v>
      </c>
      <c r="B67" s="12" t="s">
        <v>729</v>
      </c>
      <c r="C67" s="13" t="s">
        <v>112</v>
      </c>
      <c r="D67" s="14"/>
      <c r="E67" s="15">
        <v>46346.0</v>
      </c>
      <c r="F67" s="13" t="s">
        <v>75</v>
      </c>
      <c r="G67" s="16"/>
      <c r="H67" s="17"/>
    </row>
    <row r="68" ht="22.5" customHeight="1">
      <c r="A68" s="12" t="str">
        <f t="shared" si="1"/>
        <v>MO_M009</v>
      </c>
      <c r="B68" s="12" t="s">
        <v>730</v>
      </c>
      <c r="C68" s="13" t="s">
        <v>112</v>
      </c>
      <c r="D68" s="14"/>
      <c r="E68" s="14"/>
      <c r="F68" s="13" t="s">
        <v>75</v>
      </c>
      <c r="G68" s="16"/>
      <c r="H68" s="17"/>
    </row>
    <row r="69" ht="22.5" customHeight="1">
      <c r="A69" s="12" t="str">
        <f t="shared" si="1"/>
        <v>MO_M010</v>
      </c>
      <c r="B69" s="12" t="s">
        <v>731</v>
      </c>
      <c r="C69" s="13" t="s">
        <v>112</v>
      </c>
      <c r="D69" s="14"/>
      <c r="E69" s="15">
        <v>46405.0</v>
      </c>
      <c r="F69" s="13" t="s">
        <v>75</v>
      </c>
      <c r="G69" s="16"/>
      <c r="H69" s="17"/>
    </row>
    <row r="70" ht="22.5" customHeight="1">
      <c r="A70" s="12" t="str">
        <f t="shared" si="1"/>
        <v>AU_M007</v>
      </c>
      <c r="B70" s="12" t="s">
        <v>733</v>
      </c>
      <c r="C70" s="13" t="s">
        <v>103</v>
      </c>
      <c r="D70" s="14"/>
      <c r="E70" s="15">
        <v>46294.0</v>
      </c>
      <c r="F70" s="13" t="s">
        <v>85</v>
      </c>
      <c r="G70" s="16"/>
      <c r="H70" s="17"/>
    </row>
    <row r="71" ht="22.5" customHeight="1">
      <c r="A71" s="12" t="str">
        <f t="shared" si="1"/>
        <v>GE_M011</v>
      </c>
      <c r="B71" s="12" t="s">
        <v>734</v>
      </c>
      <c r="C71" s="13" t="s">
        <v>64</v>
      </c>
      <c r="D71" s="14"/>
      <c r="E71" s="15">
        <v>46460.0</v>
      </c>
      <c r="F71" s="13" t="s">
        <v>75</v>
      </c>
      <c r="G71" s="16"/>
      <c r="H71" s="17"/>
    </row>
    <row r="72" ht="22.5" customHeight="1">
      <c r="A72" s="12" t="str">
        <f t="shared" si="1"/>
        <v>GE_M012</v>
      </c>
      <c r="B72" s="12" t="s">
        <v>735</v>
      </c>
      <c r="C72" s="13" t="s">
        <v>64</v>
      </c>
      <c r="D72" s="14"/>
      <c r="E72" s="15">
        <v>46478.0</v>
      </c>
      <c r="F72" s="13" t="s">
        <v>85</v>
      </c>
      <c r="G72" s="16"/>
      <c r="H72" s="17"/>
    </row>
    <row r="73" ht="22.5" customHeight="1">
      <c r="A73" s="12" t="str">
        <f t="shared" si="1"/>
        <v>AE_M001</v>
      </c>
      <c r="B73" s="12" t="s">
        <v>736</v>
      </c>
      <c r="C73" s="13" t="s">
        <v>106</v>
      </c>
      <c r="D73" s="14"/>
      <c r="E73" s="14"/>
      <c r="F73" s="13" t="s">
        <v>75</v>
      </c>
      <c r="G73" s="16"/>
      <c r="H73" s="17"/>
    </row>
    <row r="74" ht="22.5" customHeight="1">
      <c r="A74" s="12" t="str">
        <f t="shared" si="1"/>
        <v>AE_M002</v>
      </c>
      <c r="B74" s="12" t="s">
        <v>457</v>
      </c>
      <c r="C74" s="13" t="s">
        <v>106</v>
      </c>
      <c r="D74" s="14"/>
      <c r="E74" s="14"/>
      <c r="F74" s="13" t="s">
        <v>80</v>
      </c>
      <c r="G74" s="16"/>
      <c r="H74" s="17"/>
    </row>
    <row r="75" ht="22.5" customHeight="1">
      <c r="A75" s="12" t="str">
        <f t="shared" si="1"/>
        <v>AE_M003</v>
      </c>
      <c r="B75" s="12" t="s">
        <v>737</v>
      </c>
      <c r="C75" s="13" t="s">
        <v>106</v>
      </c>
      <c r="D75" s="14"/>
      <c r="E75" s="14"/>
      <c r="F75" s="13" t="s">
        <v>75</v>
      </c>
      <c r="G75" s="16"/>
      <c r="H75" s="17"/>
    </row>
    <row r="76" ht="22.5" customHeight="1">
      <c r="A76" s="12" t="str">
        <f t="shared" si="1"/>
        <v>AE_M004</v>
      </c>
      <c r="B76" s="12" t="s">
        <v>738</v>
      </c>
      <c r="C76" s="13" t="s">
        <v>106</v>
      </c>
      <c r="D76" s="14"/>
      <c r="E76" s="14"/>
      <c r="F76" s="13" t="s">
        <v>75</v>
      </c>
      <c r="G76" s="16"/>
      <c r="H76" s="17"/>
    </row>
    <row r="77" ht="22.5" customHeight="1">
      <c r="A77" s="12" t="str">
        <f t="shared" si="1"/>
        <v>ER_M001</v>
      </c>
      <c r="B77" s="12" t="s">
        <v>739</v>
      </c>
      <c r="C77" s="13" t="s">
        <v>109</v>
      </c>
      <c r="D77" s="14"/>
      <c r="E77" s="15">
        <v>46295.0</v>
      </c>
      <c r="F77" s="13" t="s">
        <v>75</v>
      </c>
      <c r="G77" s="16"/>
      <c r="H77" s="17"/>
    </row>
    <row r="78" ht="22.5" customHeight="1">
      <c r="A78" s="12" t="str">
        <f t="shared" si="1"/>
        <v>LV_M001</v>
      </c>
      <c r="B78" s="12" t="s">
        <v>740</v>
      </c>
      <c r="C78" s="13" t="s">
        <v>93</v>
      </c>
      <c r="D78" s="14"/>
      <c r="E78" s="14"/>
      <c r="F78" s="13" t="s">
        <v>80</v>
      </c>
      <c r="G78" s="16"/>
      <c r="H78" s="17"/>
    </row>
    <row r="79" ht="22.5" customHeight="1">
      <c r="A79" s="12" t="str">
        <f t="shared" si="1"/>
        <v>LV_M002</v>
      </c>
      <c r="B79" s="12" t="s">
        <v>741</v>
      </c>
      <c r="C79" s="13" t="s">
        <v>93</v>
      </c>
      <c r="D79" s="14"/>
      <c r="E79" s="15">
        <v>46251.0</v>
      </c>
      <c r="F79" s="13" t="s">
        <v>80</v>
      </c>
      <c r="G79" s="16"/>
      <c r="H79" s="17"/>
    </row>
    <row r="80" ht="22.5" customHeight="1">
      <c r="A80" s="12" t="str">
        <f t="shared" si="1"/>
        <v>LV_M003</v>
      </c>
      <c r="B80" s="12" t="s">
        <v>742</v>
      </c>
      <c r="C80" s="13" t="s">
        <v>93</v>
      </c>
      <c r="D80" s="14"/>
      <c r="E80" s="15">
        <v>46274.0</v>
      </c>
      <c r="F80" s="13" t="s">
        <v>75</v>
      </c>
      <c r="G80" s="13"/>
      <c r="H80" s="17"/>
    </row>
    <row r="81" ht="22.5" customHeight="1">
      <c r="A81" s="12" t="str">
        <f t="shared" si="1"/>
        <v>LV_M004</v>
      </c>
      <c r="B81" s="12" t="s">
        <v>743</v>
      </c>
      <c r="C81" s="13" t="s">
        <v>93</v>
      </c>
      <c r="D81" s="14"/>
      <c r="E81" s="15">
        <v>46275.0</v>
      </c>
      <c r="F81" s="13" t="s">
        <v>75</v>
      </c>
      <c r="G81" s="16"/>
      <c r="H81" s="17"/>
    </row>
    <row r="82" ht="22.5" customHeight="1">
      <c r="A82" s="12" t="str">
        <f t="shared" si="1"/>
        <v>LV_M005</v>
      </c>
      <c r="B82" s="12" t="s">
        <v>744</v>
      </c>
      <c r="C82" s="13" t="s">
        <v>93</v>
      </c>
      <c r="D82" s="14"/>
      <c r="E82" s="15">
        <v>46293.0</v>
      </c>
      <c r="F82" s="13" t="s">
        <v>75</v>
      </c>
      <c r="G82" s="16"/>
      <c r="H82" s="12" t="s">
        <v>215</v>
      </c>
    </row>
    <row r="83" ht="22.5" customHeight="1">
      <c r="A83" s="12" t="str">
        <f t="shared" si="1"/>
        <v>LV_M006</v>
      </c>
      <c r="B83" s="12" t="s">
        <v>745</v>
      </c>
      <c r="C83" s="13" t="s">
        <v>93</v>
      </c>
      <c r="D83" s="14"/>
      <c r="E83" s="15">
        <v>46394.0</v>
      </c>
      <c r="F83" s="13" t="s">
        <v>75</v>
      </c>
      <c r="G83" s="16"/>
      <c r="H83" s="17"/>
    </row>
    <row r="84" ht="22.5" customHeight="1">
      <c r="A84" s="12" t="str">
        <f t="shared" si="1"/>
        <v>LV_M007</v>
      </c>
      <c r="B84" s="12" t="s">
        <v>746</v>
      </c>
      <c r="C84" s="13" t="s">
        <v>93</v>
      </c>
      <c r="D84" s="14"/>
      <c r="E84" s="15">
        <v>46395.0</v>
      </c>
      <c r="F84" s="13" t="s">
        <v>75</v>
      </c>
      <c r="G84" s="16"/>
      <c r="H84" s="17"/>
    </row>
    <row r="85" ht="22.5" customHeight="1">
      <c r="A85" s="12" t="str">
        <f t="shared" si="1"/>
        <v>LV_M008</v>
      </c>
      <c r="B85" s="12" t="s">
        <v>747</v>
      </c>
      <c r="C85" s="13" t="s">
        <v>93</v>
      </c>
      <c r="D85" s="14"/>
      <c r="E85" s="15">
        <v>46396.0</v>
      </c>
      <c r="F85" s="13" t="s">
        <v>75</v>
      </c>
      <c r="G85" s="16"/>
      <c r="H85" s="17"/>
    </row>
    <row r="86" ht="22.5" customHeight="1">
      <c r="A86" s="12" t="str">
        <f t="shared" si="1"/>
        <v>LV_M009</v>
      </c>
      <c r="B86" s="12" t="s">
        <v>748</v>
      </c>
      <c r="C86" s="13" t="s">
        <v>93</v>
      </c>
      <c r="D86" s="14"/>
      <c r="E86" s="15">
        <v>46402.0</v>
      </c>
      <c r="F86" s="13" t="s">
        <v>75</v>
      </c>
      <c r="G86" s="16"/>
      <c r="H86" s="17"/>
    </row>
    <row r="87" ht="22.5" customHeight="1">
      <c r="A87" s="12" t="str">
        <f t="shared" si="1"/>
        <v>LV_M010</v>
      </c>
      <c r="B87" s="12" t="s">
        <v>749</v>
      </c>
      <c r="C87" s="13" t="s">
        <v>93</v>
      </c>
      <c r="D87" s="14"/>
      <c r="E87" s="15">
        <v>46306.0</v>
      </c>
      <c r="F87" s="13" t="s">
        <v>75</v>
      </c>
      <c r="G87" s="16"/>
      <c r="H87" s="17"/>
    </row>
    <row r="88" ht="22.5" customHeight="1">
      <c r="A88" s="12" t="str">
        <f t="shared" si="1"/>
        <v>LV_M011</v>
      </c>
      <c r="B88" s="12" t="s">
        <v>750</v>
      </c>
      <c r="C88" s="13" t="s">
        <v>93</v>
      </c>
      <c r="D88" s="14"/>
      <c r="E88" s="15">
        <v>46317.0</v>
      </c>
      <c r="F88" s="13" t="s">
        <v>75</v>
      </c>
      <c r="G88" s="13"/>
      <c r="H88" s="12" t="s">
        <v>751</v>
      </c>
    </row>
    <row r="89" ht="22.5" customHeight="1">
      <c r="A89" s="12" t="str">
        <f t="shared" si="1"/>
        <v>LV_M012</v>
      </c>
      <c r="B89" s="12" t="s">
        <v>752</v>
      </c>
      <c r="C89" s="13" t="s">
        <v>93</v>
      </c>
      <c r="D89" s="14"/>
      <c r="E89" s="15">
        <v>46296.0</v>
      </c>
      <c r="F89" s="13" t="s">
        <v>75</v>
      </c>
      <c r="G89" s="16"/>
      <c r="H89" s="17"/>
    </row>
    <row r="90" ht="22.5" customHeight="1">
      <c r="A90" s="12" t="str">
        <f t="shared" si="1"/>
        <v>LV_M013</v>
      </c>
      <c r="B90" s="12" t="s">
        <v>753</v>
      </c>
      <c r="C90" s="13" t="s">
        <v>93</v>
      </c>
      <c r="D90" s="14"/>
      <c r="E90" s="15">
        <v>46306.0</v>
      </c>
      <c r="F90" s="13" t="s">
        <v>75</v>
      </c>
      <c r="G90" s="16"/>
      <c r="H90" s="17"/>
    </row>
    <row r="91" ht="22.5" customHeight="1">
      <c r="A91" s="12" t="str">
        <f t="shared" si="1"/>
        <v>ER_M002</v>
      </c>
      <c r="B91" s="12" t="s">
        <v>754</v>
      </c>
      <c r="C91" s="13" t="s">
        <v>109</v>
      </c>
      <c r="D91" s="14"/>
      <c r="E91" s="15">
        <v>46339.0</v>
      </c>
      <c r="F91" s="13" t="s">
        <v>75</v>
      </c>
      <c r="G91" s="16"/>
      <c r="H91" s="17"/>
    </row>
    <row r="92" ht="22.5" customHeight="1">
      <c r="A92" s="12" t="str">
        <f t="shared" si="1"/>
        <v>ER_M003</v>
      </c>
      <c r="B92" s="12" t="s">
        <v>755</v>
      </c>
      <c r="C92" s="13" t="s">
        <v>109</v>
      </c>
      <c r="D92" s="14"/>
      <c r="E92" s="15">
        <v>46283.0</v>
      </c>
      <c r="F92" s="13" t="s">
        <v>75</v>
      </c>
      <c r="G92" s="16"/>
      <c r="H92" s="17"/>
    </row>
    <row r="93" ht="22.5" customHeight="1">
      <c r="A93" s="12" t="str">
        <f t="shared" si="1"/>
        <v>CO_M012</v>
      </c>
      <c r="B93" s="12" t="s">
        <v>756</v>
      </c>
      <c r="C93" s="13" t="s">
        <v>97</v>
      </c>
      <c r="D93" s="15">
        <v>46265.0</v>
      </c>
      <c r="E93" s="15">
        <v>46269.0</v>
      </c>
      <c r="F93" s="13" t="s">
        <v>75</v>
      </c>
      <c r="G93" s="16"/>
      <c r="H93" s="12" t="s">
        <v>757</v>
      </c>
    </row>
    <row r="94" ht="22.5" customHeight="1">
      <c r="A94" s="12" t="str">
        <f t="shared" si="1"/>
        <v>CO_M013</v>
      </c>
      <c r="B94" s="12" t="s">
        <v>762</v>
      </c>
      <c r="C94" s="13" t="s">
        <v>97</v>
      </c>
      <c r="D94" s="15">
        <v>46402.0</v>
      </c>
      <c r="E94" s="15">
        <v>46409.0</v>
      </c>
      <c r="F94" s="13" t="s">
        <v>75</v>
      </c>
      <c r="G94" s="16"/>
      <c r="H94" s="12" t="s">
        <v>767</v>
      </c>
    </row>
    <row r="95" ht="22.5" customHeight="1">
      <c r="A95" s="12" t="str">
        <f t="shared" si="1"/>
        <v>ER_M004</v>
      </c>
      <c r="B95" s="12" t="s">
        <v>769</v>
      </c>
      <c r="C95" s="13" t="s">
        <v>109</v>
      </c>
      <c r="D95" s="15">
        <v>46419.0</v>
      </c>
      <c r="E95" s="15">
        <v>46430.0</v>
      </c>
      <c r="F95" s="13" t="s">
        <v>75</v>
      </c>
      <c r="G95" s="16"/>
      <c r="H95" s="12" t="s">
        <v>771</v>
      </c>
    </row>
    <row r="96" ht="22.5" customHeight="1">
      <c r="A96" s="12" t="str">
        <f t="shared" si="1"/>
        <v>FW_M002</v>
      </c>
      <c r="B96" s="12" t="s">
        <v>779</v>
      </c>
      <c r="C96" s="13" t="s">
        <v>100</v>
      </c>
      <c r="D96" s="14"/>
      <c r="E96" s="15">
        <v>46320.0</v>
      </c>
      <c r="F96" s="13" t="s">
        <v>75</v>
      </c>
      <c r="G96" s="16"/>
      <c r="H96" s="12" t="s">
        <v>785</v>
      </c>
    </row>
    <row r="97" ht="22.5" customHeight="1">
      <c r="A97" s="12" t="str">
        <f t="shared" si="1"/>
        <v>FW_M003</v>
      </c>
      <c r="B97" s="12" t="s">
        <v>794</v>
      </c>
      <c r="C97" s="13" t="s">
        <v>100</v>
      </c>
      <c r="D97" s="14"/>
      <c r="E97" s="14"/>
      <c r="F97" s="13" t="s">
        <v>75</v>
      </c>
      <c r="G97" s="16"/>
      <c r="H97" s="12" t="s">
        <v>800</v>
      </c>
    </row>
    <row r="98" ht="22.5" customHeight="1">
      <c r="A98" s="12" t="str">
        <f t="shared" si="1"/>
        <v>MO_M011</v>
      </c>
      <c r="B98" s="12" t="s">
        <v>806</v>
      </c>
      <c r="C98" s="13" t="s">
        <v>112</v>
      </c>
      <c r="D98" s="15">
        <v>46362.0</v>
      </c>
      <c r="E98" s="15">
        <v>46362.0</v>
      </c>
      <c r="F98" s="13" t="s">
        <v>75</v>
      </c>
      <c r="G98" s="16"/>
      <c r="H98" s="12" t="s">
        <v>811</v>
      </c>
    </row>
    <row r="99" ht="22.5" customHeight="1">
      <c r="A99" s="12" t="str">
        <f t="shared" si="1"/>
        <v>MO_M012</v>
      </c>
      <c r="B99" s="12" t="s">
        <v>820</v>
      </c>
      <c r="C99" s="13" t="s">
        <v>112</v>
      </c>
      <c r="D99" s="15">
        <v>46405.0</v>
      </c>
      <c r="E99" s="15">
        <v>46405.0</v>
      </c>
      <c r="F99" s="13" t="s">
        <v>75</v>
      </c>
      <c r="G99" s="16"/>
      <c r="H99" s="12" t="s">
        <v>823</v>
      </c>
    </row>
    <row r="100" ht="22.5" customHeight="1">
      <c r="A100" s="12" t="str">
        <f t="shared" si="1"/>
        <v>MO_M013</v>
      </c>
      <c r="B100" s="12" t="s">
        <v>828</v>
      </c>
      <c r="C100" s="13" t="s">
        <v>112</v>
      </c>
      <c r="D100" s="15">
        <v>46416.0</v>
      </c>
      <c r="E100" s="15">
        <v>46416.0</v>
      </c>
      <c r="F100" s="13" t="s">
        <v>75</v>
      </c>
      <c r="G100" s="16"/>
      <c r="H100" s="12" t="s">
        <v>830</v>
      </c>
    </row>
    <row r="101" ht="22.5" customHeight="1">
      <c r="A101" s="12" t="str">
        <f t="shared" si="1"/>
        <v>MO_M014</v>
      </c>
      <c r="B101" s="12" t="s">
        <v>838</v>
      </c>
      <c r="C101" s="13" t="s">
        <v>112</v>
      </c>
      <c r="D101" s="15">
        <v>46422.0</v>
      </c>
      <c r="E101" s="15">
        <v>46422.0</v>
      </c>
      <c r="F101" s="13" t="s">
        <v>75</v>
      </c>
      <c r="G101" s="16"/>
      <c r="H101" s="12" t="s">
        <v>842</v>
      </c>
    </row>
    <row r="102" ht="22.5" customHeight="1">
      <c r="A102" s="12" t="str">
        <f t="shared" si="1"/>
        <v>MO_M015</v>
      </c>
      <c r="B102" s="12" t="s">
        <v>134</v>
      </c>
      <c r="C102" s="13" t="s">
        <v>112</v>
      </c>
      <c r="D102" s="15">
        <v>46432.0</v>
      </c>
      <c r="E102" s="15">
        <v>46432.0</v>
      </c>
      <c r="F102" s="13" t="s">
        <v>75</v>
      </c>
      <c r="G102" s="16"/>
      <c r="H102" s="12" t="s">
        <v>854</v>
      </c>
    </row>
    <row r="103" ht="22.5" customHeight="1">
      <c r="A103" s="12" t="str">
        <f t="shared" si="1"/>
        <v>SU_M011</v>
      </c>
      <c r="B103" s="12" t="s">
        <v>858</v>
      </c>
      <c r="C103" s="13" t="s">
        <v>115</v>
      </c>
      <c r="D103" s="15">
        <v>46405.0</v>
      </c>
      <c r="E103" s="15">
        <v>46408.0</v>
      </c>
      <c r="F103" s="13" t="s">
        <v>75</v>
      </c>
      <c r="G103" s="16"/>
      <c r="H103" s="12" t="s">
        <v>869</v>
      </c>
    </row>
    <row r="104" ht="22.5" customHeight="1">
      <c r="A104" s="12" t="str">
        <f t="shared" si="1"/>
        <v>BU_M001</v>
      </c>
      <c r="B104" s="12" t="s">
        <v>860</v>
      </c>
      <c r="C104" s="13" t="s">
        <v>121</v>
      </c>
      <c r="D104" s="14"/>
      <c r="E104" s="15">
        <v>46266.0</v>
      </c>
      <c r="F104" s="13" t="s">
        <v>80</v>
      </c>
      <c r="G104" s="16"/>
      <c r="H104" s="17"/>
    </row>
    <row r="105" ht="22.5" customHeight="1">
      <c r="A105" s="12" t="str">
        <f t="shared" si="1"/>
        <v>BU_M002</v>
      </c>
      <c r="B105" s="12" t="s">
        <v>862</v>
      </c>
      <c r="C105" s="13" t="s">
        <v>121</v>
      </c>
      <c r="D105" s="14"/>
      <c r="E105" s="15">
        <v>46281.0</v>
      </c>
      <c r="F105" s="16"/>
      <c r="G105" s="16"/>
      <c r="H105" s="17"/>
    </row>
    <row r="106" ht="22.5" customHeight="1">
      <c r="A106" s="12" t="str">
        <f t="shared" si="1"/>
        <v>BU_M003</v>
      </c>
      <c r="B106" s="12" t="s">
        <v>864</v>
      </c>
      <c r="C106" s="13" t="s">
        <v>121</v>
      </c>
      <c r="D106" s="14"/>
      <c r="E106" s="15">
        <v>46328.0</v>
      </c>
      <c r="F106" s="16"/>
      <c r="G106" s="16"/>
      <c r="H106" s="17"/>
    </row>
    <row r="107" ht="22.5" customHeight="1">
      <c r="A107" s="12" t="str">
        <f t="shared" si="1"/>
        <v>GE_M013</v>
      </c>
      <c r="B107" s="12" t="s">
        <v>866</v>
      </c>
      <c r="C107" s="13" t="s">
        <v>64</v>
      </c>
      <c r="D107" s="14"/>
      <c r="E107" s="39" t="s">
        <v>867</v>
      </c>
      <c r="F107" s="16"/>
      <c r="G107" s="16"/>
      <c r="H107" s="17"/>
    </row>
    <row r="108" ht="22.5" customHeight="1">
      <c r="A108" s="12" t="str">
        <f t="shared" si="1"/>
        <v/>
      </c>
      <c r="B108" s="17"/>
      <c r="C108" s="30"/>
      <c r="D108" s="14"/>
      <c r="E108" s="14"/>
      <c r="F108" s="16"/>
      <c r="G108" s="16"/>
      <c r="H108" s="17"/>
    </row>
    <row r="109" ht="22.5" customHeight="1">
      <c r="A109" s="12" t="str">
        <f t="shared" si="1"/>
        <v/>
      </c>
      <c r="B109" s="17"/>
      <c r="C109" s="30"/>
      <c r="D109" s="14"/>
      <c r="E109" s="14"/>
      <c r="F109" s="16"/>
      <c r="G109" s="16"/>
      <c r="H109" s="17"/>
    </row>
    <row r="110" ht="22.5" customHeight="1">
      <c r="A110" s="12" t="str">
        <f t="shared" si="1"/>
        <v/>
      </c>
      <c r="B110" s="17"/>
      <c r="C110" s="30"/>
      <c r="D110" s="14"/>
      <c r="E110" s="14"/>
      <c r="F110" s="16"/>
      <c r="G110" s="16"/>
      <c r="H110" s="17"/>
    </row>
    <row r="111" ht="22.5" customHeight="1">
      <c r="A111" s="12" t="str">
        <f t="shared" si="1"/>
        <v/>
      </c>
      <c r="B111" s="17"/>
      <c r="C111" s="30"/>
      <c r="D111" s="14"/>
      <c r="E111" s="14"/>
      <c r="F111" s="16"/>
      <c r="G111" s="16"/>
      <c r="H111" s="17"/>
    </row>
    <row r="112" ht="22.5" customHeight="1">
      <c r="A112" s="12" t="str">
        <f t="shared" si="1"/>
        <v/>
      </c>
      <c r="B112" s="17"/>
      <c r="C112" s="30"/>
      <c r="D112" s="14"/>
      <c r="E112" s="14"/>
      <c r="F112" s="16"/>
      <c r="G112" s="16"/>
      <c r="H112" s="17"/>
    </row>
    <row r="113" ht="22.5" customHeight="1">
      <c r="A113" s="12" t="str">
        <f t="shared" si="1"/>
        <v/>
      </c>
      <c r="B113" s="17"/>
      <c r="C113" s="30"/>
      <c r="D113" s="14"/>
      <c r="E113" s="14"/>
      <c r="F113" s="16"/>
      <c r="G113" s="16"/>
      <c r="H113" s="17"/>
    </row>
    <row r="114" ht="22.5" customHeight="1">
      <c r="A114" s="12" t="str">
        <f t="shared" si="1"/>
        <v/>
      </c>
      <c r="B114" s="17"/>
      <c r="C114" s="30"/>
      <c r="D114" s="14"/>
      <c r="E114" s="14"/>
      <c r="F114" s="16"/>
      <c r="G114" s="16"/>
      <c r="H114" s="17"/>
    </row>
    <row r="115" ht="22.5" customHeight="1">
      <c r="A115" s="12" t="str">
        <f t="shared" si="1"/>
        <v/>
      </c>
      <c r="B115" s="17"/>
      <c r="C115" s="30"/>
      <c r="D115" s="14"/>
      <c r="E115" s="14"/>
      <c r="F115" s="16"/>
      <c r="G115" s="16"/>
      <c r="H115" s="17"/>
    </row>
    <row r="116" ht="22.5" customHeight="1">
      <c r="A116" s="12" t="str">
        <f t="shared" si="1"/>
        <v/>
      </c>
      <c r="B116" s="17"/>
      <c r="C116" s="30"/>
      <c r="D116" s="14"/>
      <c r="E116" s="14"/>
      <c r="F116" s="16"/>
      <c r="G116" s="16"/>
      <c r="H116" s="17"/>
    </row>
    <row r="117" ht="22.5" customHeight="1">
      <c r="A117" s="12" t="str">
        <f t="shared" si="1"/>
        <v/>
      </c>
      <c r="B117" s="17"/>
      <c r="C117" s="30"/>
      <c r="D117" s="14"/>
      <c r="E117" s="14"/>
      <c r="F117" s="16"/>
      <c r="G117" s="16"/>
      <c r="H117" s="17"/>
    </row>
    <row r="118" ht="22.5" customHeight="1">
      <c r="A118" s="12" t="str">
        <f t="shared" si="1"/>
        <v/>
      </c>
      <c r="B118" s="17"/>
      <c r="C118" s="30"/>
      <c r="D118" s="14"/>
      <c r="E118" s="14"/>
      <c r="F118" s="16"/>
      <c r="G118" s="16"/>
      <c r="H118" s="17"/>
    </row>
    <row r="119" ht="22.5" customHeight="1">
      <c r="A119" s="12" t="str">
        <f t="shared" si="1"/>
        <v/>
      </c>
      <c r="B119" s="17"/>
      <c r="C119" s="30"/>
      <c r="D119" s="14"/>
      <c r="E119" s="14"/>
      <c r="F119" s="16"/>
      <c r="G119" s="16"/>
      <c r="H119" s="17"/>
    </row>
    <row r="120" ht="22.5" customHeight="1">
      <c r="A120" s="12" t="str">
        <f t="shared" si="1"/>
        <v/>
      </c>
      <c r="B120" s="17"/>
      <c r="C120" s="30"/>
      <c r="D120" s="14"/>
      <c r="E120" s="14"/>
      <c r="F120" s="16"/>
      <c r="G120" s="16"/>
      <c r="H120" s="17"/>
    </row>
    <row r="121" ht="22.5" customHeight="1">
      <c r="A121" s="12" t="str">
        <f t="shared" si="1"/>
        <v/>
      </c>
      <c r="B121" s="17"/>
      <c r="C121" s="30"/>
      <c r="D121" s="14"/>
      <c r="E121" s="14"/>
      <c r="F121" s="16"/>
      <c r="G121" s="16"/>
      <c r="H121" s="17"/>
    </row>
    <row r="122" ht="22.5" customHeight="1">
      <c r="A122" s="12" t="str">
        <f t="shared" si="1"/>
        <v/>
      </c>
      <c r="B122" s="17"/>
      <c r="C122" s="30"/>
      <c r="D122" s="14"/>
      <c r="E122" s="14"/>
      <c r="F122" s="16"/>
      <c r="G122" s="16"/>
      <c r="H122" s="17"/>
    </row>
    <row r="123" ht="22.5" customHeight="1">
      <c r="A123" s="12" t="str">
        <f t="shared" si="1"/>
        <v/>
      </c>
      <c r="B123" s="17"/>
      <c r="C123" s="30"/>
      <c r="D123" s="14"/>
      <c r="E123" s="14"/>
      <c r="F123" s="16"/>
      <c r="G123" s="16"/>
      <c r="H123" s="17"/>
    </row>
    <row r="124" ht="22.5" customHeight="1">
      <c r="A124" s="12" t="str">
        <f t="shared" si="1"/>
        <v/>
      </c>
      <c r="B124" s="17"/>
      <c r="C124" s="30"/>
      <c r="D124" s="14"/>
      <c r="E124" s="14"/>
      <c r="F124" s="16"/>
      <c r="G124" s="16"/>
      <c r="H124" s="17"/>
    </row>
    <row r="125" ht="22.5" customHeight="1">
      <c r="A125" s="12" t="str">
        <f t="shared" si="1"/>
        <v/>
      </c>
      <c r="B125" s="17"/>
      <c r="C125" s="30"/>
      <c r="D125" s="14"/>
      <c r="E125" s="14"/>
      <c r="F125" s="16"/>
      <c r="G125" s="16"/>
      <c r="H125" s="17"/>
    </row>
    <row r="126" ht="22.5" customHeight="1">
      <c r="A126" s="12" t="str">
        <f t="shared" si="1"/>
        <v/>
      </c>
      <c r="B126" s="17"/>
      <c r="C126" s="30"/>
      <c r="D126" s="14"/>
      <c r="E126" s="14"/>
      <c r="F126" s="16"/>
      <c r="G126" s="16"/>
      <c r="H126" s="17"/>
    </row>
    <row r="127" ht="22.5" customHeight="1">
      <c r="A127" s="12" t="str">
        <f t="shared" si="1"/>
        <v/>
      </c>
      <c r="B127" s="17"/>
      <c r="C127" s="30"/>
      <c r="D127" s="14"/>
      <c r="E127" s="14"/>
      <c r="F127" s="16"/>
      <c r="G127" s="16"/>
      <c r="H127" s="17"/>
    </row>
    <row r="128" ht="22.5" customHeight="1">
      <c r="A128" s="12" t="str">
        <f t="shared" si="1"/>
        <v/>
      </c>
      <c r="B128" s="17"/>
      <c r="C128" s="30"/>
      <c r="D128" s="14"/>
      <c r="E128" s="14"/>
      <c r="F128" s="16"/>
      <c r="G128" s="16"/>
      <c r="H128" s="17"/>
    </row>
    <row r="129" ht="22.5" customHeight="1">
      <c r="A129" s="12" t="str">
        <f t="shared" si="1"/>
        <v/>
      </c>
      <c r="B129" s="17"/>
      <c r="C129" s="30"/>
      <c r="D129" s="14"/>
      <c r="E129" s="14"/>
      <c r="F129" s="16"/>
      <c r="G129" s="16"/>
      <c r="H129" s="17"/>
    </row>
    <row r="130" ht="22.5" customHeight="1">
      <c r="A130" s="12" t="str">
        <f t="shared" si="1"/>
        <v/>
      </c>
      <c r="B130" s="17"/>
      <c r="C130" s="30"/>
      <c r="D130" s="14"/>
      <c r="E130" s="14"/>
      <c r="F130" s="16"/>
      <c r="G130" s="16"/>
      <c r="H130" s="17"/>
    </row>
    <row r="131" ht="22.5" customHeight="1">
      <c r="A131" s="12" t="str">
        <f t="shared" si="1"/>
        <v/>
      </c>
      <c r="B131" s="17"/>
      <c r="C131" s="30"/>
      <c r="D131" s="14"/>
      <c r="E131" s="14"/>
      <c r="F131" s="16"/>
      <c r="G131" s="16"/>
      <c r="H131" s="17"/>
    </row>
    <row r="132" ht="22.5" customHeight="1">
      <c r="A132" s="12" t="str">
        <f t="shared" si="1"/>
        <v/>
      </c>
      <c r="B132" s="17"/>
      <c r="C132" s="30"/>
      <c r="D132" s="14"/>
      <c r="E132" s="14"/>
      <c r="F132" s="16"/>
      <c r="G132" s="16"/>
      <c r="H132" s="17"/>
    </row>
    <row r="133" ht="22.5" customHeight="1">
      <c r="A133" s="12" t="str">
        <f t="shared" si="1"/>
        <v/>
      </c>
      <c r="B133" s="17"/>
      <c r="C133" s="30"/>
      <c r="D133" s="14"/>
      <c r="E133" s="14"/>
      <c r="F133" s="16"/>
      <c r="G133" s="16"/>
      <c r="H133" s="17"/>
    </row>
    <row r="134" ht="22.5" customHeight="1">
      <c r="A134" s="12" t="str">
        <f t="shared" si="1"/>
        <v/>
      </c>
      <c r="B134" s="17"/>
      <c r="C134" s="30"/>
      <c r="D134" s="14"/>
      <c r="E134" s="14"/>
      <c r="F134" s="16"/>
      <c r="G134" s="16"/>
      <c r="H134" s="17"/>
    </row>
    <row r="135" ht="22.5" customHeight="1">
      <c r="A135" s="12" t="str">
        <f t="shared" si="1"/>
        <v/>
      </c>
      <c r="B135" s="17"/>
      <c r="C135" s="30"/>
      <c r="D135" s="14"/>
      <c r="E135" s="14"/>
      <c r="F135" s="16"/>
      <c r="G135" s="16"/>
      <c r="H135" s="17"/>
    </row>
    <row r="136" ht="22.5" customHeight="1">
      <c r="A136" s="12" t="str">
        <f t="shared" si="1"/>
        <v/>
      </c>
      <c r="B136" s="17"/>
      <c r="C136" s="30"/>
      <c r="D136" s="14"/>
      <c r="E136" s="14"/>
      <c r="F136" s="16"/>
      <c r="G136" s="16"/>
      <c r="H136" s="17"/>
    </row>
    <row r="137" ht="22.5" customHeight="1">
      <c r="A137" s="12" t="str">
        <f t="shared" si="1"/>
        <v/>
      </c>
      <c r="B137" s="17"/>
      <c r="C137" s="30"/>
      <c r="D137" s="14"/>
      <c r="E137" s="14"/>
      <c r="F137" s="16"/>
      <c r="G137" s="16"/>
      <c r="H137" s="17"/>
    </row>
    <row r="138" ht="22.5" customHeight="1">
      <c r="A138" s="12" t="str">
        <f t="shared" si="1"/>
        <v/>
      </c>
      <c r="B138" s="17"/>
      <c r="C138" s="30"/>
      <c r="D138" s="14"/>
      <c r="E138" s="14"/>
      <c r="F138" s="16"/>
      <c r="G138" s="16"/>
      <c r="H138" s="17"/>
    </row>
    <row r="139" ht="22.5" customHeight="1">
      <c r="A139" s="12" t="str">
        <f t="shared" si="1"/>
        <v/>
      </c>
      <c r="B139" s="17"/>
      <c r="C139" s="30"/>
      <c r="D139" s="14"/>
      <c r="E139" s="14"/>
      <c r="F139" s="16"/>
      <c r="G139" s="16"/>
      <c r="H139" s="17"/>
    </row>
    <row r="140" ht="22.5" customHeight="1">
      <c r="A140" s="12" t="str">
        <f t="shared" si="1"/>
        <v/>
      </c>
      <c r="B140" s="17"/>
      <c r="C140" s="30"/>
      <c r="D140" s="14"/>
      <c r="E140" s="14"/>
      <c r="F140" s="16"/>
      <c r="G140" s="16"/>
      <c r="H140" s="17"/>
    </row>
    <row r="141" ht="22.5" customHeight="1">
      <c r="A141" s="12" t="str">
        <f t="shared" si="1"/>
        <v/>
      </c>
      <c r="B141" s="17"/>
      <c r="C141" s="30"/>
      <c r="D141" s="14"/>
      <c r="E141" s="14"/>
      <c r="F141" s="16"/>
      <c r="G141" s="16"/>
      <c r="H141" s="17"/>
    </row>
    <row r="142" ht="22.5" customHeight="1">
      <c r="A142" s="12" t="str">
        <f t="shared" si="1"/>
        <v/>
      </c>
      <c r="B142" s="17"/>
      <c r="C142" s="30"/>
      <c r="D142" s="14"/>
      <c r="E142" s="14"/>
      <c r="F142" s="16"/>
      <c r="G142" s="16"/>
      <c r="H142" s="17"/>
    </row>
    <row r="143" ht="22.5" customHeight="1">
      <c r="A143" s="12" t="str">
        <f t="shared" si="1"/>
        <v/>
      </c>
      <c r="B143" s="17"/>
      <c r="C143" s="30"/>
      <c r="D143" s="14"/>
      <c r="E143" s="14"/>
      <c r="F143" s="16"/>
      <c r="G143" s="16"/>
      <c r="H143" s="17"/>
    </row>
    <row r="144" ht="22.5" customHeight="1">
      <c r="A144" s="12" t="str">
        <f t="shared" si="1"/>
        <v/>
      </c>
      <c r="B144" s="17"/>
      <c r="C144" s="30"/>
      <c r="D144" s="14"/>
      <c r="E144" s="14"/>
      <c r="F144" s="16"/>
      <c r="G144" s="16"/>
      <c r="H144" s="17"/>
    </row>
    <row r="145" ht="22.5" customHeight="1">
      <c r="A145" s="12" t="str">
        <f t="shared" si="1"/>
        <v/>
      </c>
      <c r="B145" s="17"/>
      <c r="C145" s="30"/>
      <c r="D145" s="14"/>
      <c r="E145" s="14"/>
      <c r="F145" s="16"/>
      <c r="G145" s="16"/>
      <c r="H145" s="17"/>
    </row>
  </sheetData>
  <dataValidations>
    <dataValidation type="list" allowBlank="1" sqref="F2:F145">
      <formula1>"Not Started,In Progress,Blocked,Complete"</formula1>
    </dataValidation>
    <dataValidation type="custom" allowBlank="1" showDropDown="1" sqref="D2:E145">
      <formula1>OR(NOT(ISERROR(DATEVALUE(D2))), AND(ISNUMBER(D2), LEFT(CELL("format", D2))="D"))</formula1>
    </dataValidation>
    <dataValidation type="list" allowBlank="1" sqref="G2:G145">
      <formula1>"Option 1,Option 2"</formula1>
    </dataValidation>
    <dataValidation allowBlank="1" showDropDown="1" sqref="A2:B145 H2:H145"/>
    <dataValidation type="list" allowBlank="1" sqref="C2:C145">
      <formula1>#REF!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63"/>
  </cols>
  <sheetData>
    <row r="1">
      <c r="A1" s="7" t="s">
        <v>0</v>
      </c>
      <c r="B1" s="7" t="s">
        <v>58</v>
      </c>
      <c r="C1" s="7" t="s">
        <v>60</v>
      </c>
      <c r="D1" s="7" t="s">
        <v>72</v>
      </c>
      <c r="E1" s="7" t="s">
        <v>73</v>
      </c>
    </row>
    <row r="2">
      <c r="A2" s="9" t="s">
        <v>64</v>
      </c>
      <c r="B2" s="9" t="s">
        <v>74</v>
      </c>
      <c r="C2" s="9" t="s">
        <v>75</v>
      </c>
      <c r="D2" s="9" t="s">
        <v>76</v>
      </c>
      <c r="E2" s="9" t="s">
        <v>77</v>
      </c>
    </row>
    <row r="3">
      <c r="A3" s="9" t="s">
        <v>78</v>
      </c>
      <c r="B3" s="9" t="s">
        <v>79</v>
      </c>
      <c r="C3" s="9" t="s">
        <v>80</v>
      </c>
      <c r="D3" s="9" t="s">
        <v>81</v>
      </c>
      <c r="E3" s="9" t="s">
        <v>82</v>
      </c>
    </row>
    <row r="4">
      <c r="A4" s="9" t="s">
        <v>83</v>
      </c>
      <c r="B4" s="9" t="s">
        <v>84</v>
      </c>
      <c r="C4" s="9" t="s">
        <v>85</v>
      </c>
      <c r="D4" s="9" t="s">
        <v>86</v>
      </c>
      <c r="E4" s="9" t="s">
        <v>87</v>
      </c>
    </row>
    <row r="5">
      <c r="A5" s="9" t="s">
        <v>88</v>
      </c>
      <c r="B5" s="9" t="s">
        <v>89</v>
      </c>
      <c r="C5" s="9" t="s">
        <v>90</v>
      </c>
      <c r="D5" s="9" t="s">
        <v>91</v>
      </c>
      <c r="E5" s="9" t="s">
        <v>92</v>
      </c>
    </row>
    <row r="6">
      <c r="A6" s="9" t="s">
        <v>93</v>
      </c>
      <c r="B6" s="9" t="s">
        <v>94</v>
      </c>
      <c r="C6" s="9" t="s">
        <v>95</v>
      </c>
      <c r="D6" s="11"/>
      <c r="E6" s="9" t="s">
        <v>96</v>
      </c>
    </row>
    <row r="7">
      <c r="A7" s="9" t="s">
        <v>97</v>
      </c>
      <c r="B7" s="9" t="s">
        <v>98</v>
      </c>
      <c r="C7" s="11"/>
      <c r="D7" s="11"/>
      <c r="E7" s="9" t="s">
        <v>99</v>
      </c>
    </row>
    <row r="8">
      <c r="A8" s="9" t="s">
        <v>100</v>
      </c>
      <c r="B8" s="9" t="s">
        <v>101</v>
      </c>
      <c r="C8" s="11"/>
      <c r="D8" s="11"/>
      <c r="E8" s="9" t="s">
        <v>102</v>
      </c>
    </row>
    <row r="9">
      <c r="A9" s="9" t="s">
        <v>103</v>
      </c>
      <c r="B9" s="9" t="s">
        <v>104</v>
      </c>
      <c r="C9" s="11"/>
      <c r="D9" s="11"/>
      <c r="E9" s="9" t="s">
        <v>105</v>
      </c>
    </row>
    <row r="10">
      <c r="A10" s="9" t="s">
        <v>106</v>
      </c>
      <c r="B10" s="9" t="s">
        <v>107</v>
      </c>
      <c r="C10" s="11"/>
      <c r="D10" s="11"/>
      <c r="E10" s="9" t="s">
        <v>108</v>
      </c>
    </row>
    <row r="11">
      <c r="A11" s="9" t="s">
        <v>109</v>
      </c>
      <c r="B11" s="9" t="s">
        <v>110</v>
      </c>
      <c r="C11" s="11"/>
      <c r="D11" s="11"/>
      <c r="E11" s="9" t="s">
        <v>111</v>
      </c>
    </row>
    <row r="12">
      <c r="A12" s="9" t="s">
        <v>112</v>
      </c>
      <c r="B12" s="9" t="s">
        <v>113</v>
      </c>
      <c r="C12" s="11"/>
      <c r="D12" s="11"/>
      <c r="E12" s="9" t="s">
        <v>114</v>
      </c>
    </row>
    <row r="13">
      <c r="A13" s="9" t="s">
        <v>115</v>
      </c>
      <c r="B13" s="9" t="s">
        <v>116</v>
      </c>
      <c r="C13" s="11"/>
      <c r="D13" s="11"/>
      <c r="E13" s="9" t="s">
        <v>117</v>
      </c>
    </row>
    <row r="14">
      <c r="A14" s="9" t="s">
        <v>118</v>
      </c>
      <c r="B14" s="9" t="s">
        <v>119</v>
      </c>
      <c r="C14" s="11"/>
      <c r="D14" s="11"/>
      <c r="E14" s="9" t="s">
        <v>120</v>
      </c>
    </row>
    <row r="15">
      <c r="A15" s="9" t="s">
        <v>121</v>
      </c>
      <c r="B15" s="9" t="s">
        <v>122</v>
      </c>
      <c r="C15" s="11"/>
      <c r="D15" s="11"/>
      <c r="E15" s="9" t="s">
        <v>123</v>
      </c>
    </row>
    <row r="16">
      <c r="A16" s="11"/>
      <c r="B16" s="11"/>
      <c r="C16" s="11"/>
      <c r="D16" s="11"/>
      <c r="E16" s="9" t="s">
        <v>124</v>
      </c>
    </row>
    <row r="17">
      <c r="A17" s="11"/>
      <c r="B17" s="11"/>
      <c r="C17" s="11"/>
      <c r="D17" s="11"/>
      <c r="E17" s="9" t="s">
        <v>125</v>
      </c>
    </row>
    <row r="18">
      <c r="A18" s="11"/>
      <c r="B18" s="11"/>
      <c r="C18" s="11"/>
      <c r="D18" s="11"/>
      <c r="E18" s="9" t="s">
        <v>126</v>
      </c>
    </row>
    <row r="19">
      <c r="A19" s="11"/>
      <c r="B19" s="11"/>
      <c r="C19" s="11"/>
      <c r="D19" s="11"/>
      <c r="E19" s="9" t="s">
        <v>127</v>
      </c>
    </row>
    <row r="20">
      <c r="A20" s="11"/>
      <c r="B20" s="11"/>
      <c r="C20" s="11"/>
      <c r="D20" s="11"/>
      <c r="E20" s="9" t="s">
        <v>129</v>
      </c>
    </row>
    <row r="21">
      <c r="A21" s="11"/>
      <c r="B21" s="11"/>
      <c r="C21" s="11"/>
      <c r="D21" s="11"/>
      <c r="E21" s="9" t="s">
        <v>130</v>
      </c>
    </row>
    <row r="22">
      <c r="A22" s="11"/>
      <c r="B22" s="11"/>
      <c r="C22" s="11"/>
      <c r="D22" s="11"/>
      <c r="E22" s="9" t="s">
        <v>131</v>
      </c>
    </row>
    <row r="23">
      <c r="A23" s="11"/>
      <c r="B23" s="11"/>
      <c r="C23" s="11"/>
      <c r="D23" s="11"/>
      <c r="E23" s="9" t="s">
        <v>132</v>
      </c>
    </row>
    <row r="24">
      <c r="A24" s="11"/>
      <c r="B24" s="11"/>
      <c r="C24" s="11"/>
      <c r="D24" s="11"/>
      <c r="E24" s="9" t="s">
        <v>133</v>
      </c>
    </row>
    <row r="25">
      <c r="A25" s="11"/>
      <c r="B25" s="11"/>
      <c r="C25" s="11"/>
      <c r="D25" s="11"/>
      <c r="E25" s="9" t="s">
        <v>135</v>
      </c>
    </row>
    <row r="26">
      <c r="A26" s="11"/>
      <c r="B26" s="11"/>
      <c r="C26" s="11"/>
      <c r="D26" s="11"/>
      <c r="E26" s="9" t="s">
        <v>136</v>
      </c>
    </row>
    <row r="27">
      <c r="A27" s="11"/>
      <c r="B27" s="11"/>
      <c r="C27" s="11"/>
      <c r="D27" s="11"/>
      <c r="E27" s="9" t="s">
        <v>137</v>
      </c>
    </row>
    <row r="28">
      <c r="A28" s="11"/>
      <c r="B28" s="11"/>
      <c r="C28" s="11"/>
      <c r="D28" s="11"/>
      <c r="E28" s="9" t="s">
        <v>138</v>
      </c>
    </row>
    <row r="29">
      <c r="A29" s="11"/>
      <c r="B29" s="11"/>
      <c r="C29" s="11"/>
      <c r="D29" s="11"/>
      <c r="E29" s="9" t="s">
        <v>139</v>
      </c>
    </row>
    <row r="30">
      <c r="A30" s="11"/>
      <c r="B30" s="11"/>
      <c r="C30" s="11"/>
      <c r="D30" s="11"/>
      <c r="E30" s="9" t="s">
        <v>140</v>
      </c>
    </row>
    <row r="31">
      <c r="A31" s="11"/>
      <c r="B31" s="11"/>
      <c r="C31" s="11"/>
      <c r="D31" s="11"/>
      <c r="E31" s="9" t="s">
        <v>141</v>
      </c>
    </row>
    <row r="32">
      <c r="A32" s="11"/>
      <c r="B32" s="11"/>
      <c r="C32" s="11"/>
      <c r="D32" s="11"/>
      <c r="E32" s="9" t="s">
        <v>142</v>
      </c>
    </row>
    <row r="33">
      <c r="A33" s="11"/>
      <c r="B33" s="11"/>
      <c r="C33" s="11"/>
      <c r="D33" s="11"/>
      <c r="E33" s="9" t="s">
        <v>143</v>
      </c>
    </row>
    <row r="34">
      <c r="A34" s="11"/>
      <c r="B34" s="11"/>
      <c r="C34" s="11"/>
      <c r="D34" s="11"/>
      <c r="E34" s="9" t="s">
        <v>144</v>
      </c>
    </row>
    <row r="35">
      <c r="A35" s="11"/>
      <c r="B35" s="11"/>
      <c r="C35" s="11"/>
      <c r="D35" s="11"/>
      <c r="E35" s="9" t="s">
        <v>145</v>
      </c>
    </row>
    <row r="36">
      <c r="A36" s="11"/>
      <c r="B36" s="11"/>
      <c r="C36" s="11"/>
      <c r="D36" s="11"/>
      <c r="E36" s="9" t="s">
        <v>146</v>
      </c>
    </row>
    <row r="37">
      <c r="A37" s="11"/>
      <c r="B37" s="11"/>
      <c r="C37" s="11"/>
      <c r="D37" s="11"/>
      <c r="E37" s="9" t="s">
        <v>147</v>
      </c>
    </row>
    <row r="38">
      <c r="A38" s="11"/>
      <c r="B38" s="11"/>
      <c r="C38" s="11"/>
      <c r="D38" s="11"/>
      <c r="E38" s="9" t="s">
        <v>148</v>
      </c>
    </row>
    <row r="39">
      <c r="A39" s="11"/>
      <c r="B39" s="11"/>
      <c r="C39" s="11"/>
      <c r="D39" s="11"/>
      <c r="E39" s="9" t="s">
        <v>149</v>
      </c>
    </row>
    <row r="40">
      <c r="A40" s="11"/>
      <c r="B40" s="11"/>
      <c r="C40" s="11"/>
      <c r="D40" s="11"/>
      <c r="E40" s="9" t="s">
        <v>150</v>
      </c>
    </row>
    <row r="41">
      <c r="A41" s="11"/>
      <c r="B41" s="11"/>
      <c r="C41" s="11"/>
      <c r="D41" s="11"/>
      <c r="E41" s="9" t="s">
        <v>151</v>
      </c>
    </row>
    <row r="42">
      <c r="A42" s="11"/>
      <c r="B42" s="11"/>
      <c r="C42" s="11"/>
      <c r="D42" s="11"/>
      <c r="E42" s="9" t="s">
        <v>153</v>
      </c>
    </row>
    <row r="43">
      <c r="A43" s="11"/>
      <c r="B43" s="11"/>
      <c r="C43" s="11"/>
      <c r="D43" s="11"/>
      <c r="E43" s="9" t="s">
        <v>154</v>
      </c>
    </row>
    <row r="44">
      <c r="A44" s="11"/>
      <c r="B44" s="11"/>
      <c r="C44" s="11"/>
      <c r="D44" s="11"/>
      <c r="E44" s="9" t="s">
        <v>155</v>
      </c>
    </row>
    <row r="45">
      <c r="A45" s="11"/>
      <c r="B45" s="11"/>
      <c r="C45" s="11"/>
      <c r="D45" s="11"/>
      <c r="E45" s="9" t="s">
        <v>156</v>
      </c>
    </row>
    <row r="46">
      <c r="A46" s="11"/>
      <c r="B46" s="11"/>
      <c r="C46" s="11"/>
      <c r="D46" s="11"/>
      <c r="E46" s="9" t="s">
        <v>157</v>
      </c>
    </row>
    <row r="47">
      <c r="A47" s="11"/>
      <c r="B47" s="11"/>
      <c r="C47" s="11"/>
      <c r="D47" s="11"/>
      <c r="E47" s="9" t="s">
        <v>158</v>
      </c>
    </row>
    <row r="48">
      <c r="A48" s="11"/>
      <c r="B48" s="11"/>
      <c r="C48" s="11"/>
      <c r="D48" s="11"/>
      <c r="E48" s="9" t="s">
        <v>159</v>
      </c>
    </row>
    <row r="49">
      <c r="A49" s="11"/>
      <c r="B49" s="11"/>
      <c r="C49" s="11"/>
      <c r="D49" s="11"/>
      <c r="E49" s="9" t="s">
        <v>160</v>
      </c>
    </row>
    <row r="50">
      <c r="A50" s="11"/>
      <c r="B50" s="11"/>
      <c r="C50" s="11"/>
      <c r="D50" s="11"/>
      <c r="E50" s="9" t="s">
        <v>161</v>
      </c>
    </row>
    <row r="51">
      <c r="A51" s="11"/>
      <c r="B51" s="11"/>
      <c r="C51" s="11"/>
      <c r="D51" s="11"/>
      <c r="E51" s="9" t="s">
        <v>162</v>
      </c>
    </row>
    <row r="52">
      <c r="A52" s="11"/>
      <c r="B52" s="11"/>
      <c r="C52" s="11"/>
      <c r="D52" s="11"/>
      <c r="E52" s="9" t="s">
        <v>163</v>
      </c>
    </row>
    <row r="53">
      <c r="A53" s="11"/>
      <c r="B53" s="11"/>
      <c r="C53" s="11"/>
      <c r="D53" s="11"/>
      <c r="E53" s="9" t="s">
        <v>164</v>
      </c>
    </row>
    <row r="54">
      <c r="A54" s="11"/>
      <c r="B54" s="11"/>
      <c r="C54" s="11"/>
      <c r="D54" s="11"/>
      <c r="E54" s="9" t="s">
        <v>165</v>
      </c>
    </row>
    <row r="55">
      <c r="A55" s="11"/>
      <c r="B55" s="11"/>
      <c r="C55" s="11"/>
      <c r="D55" s="11"/>
      <c r="E55" s="9" t="s">
        <v>166</v>
      </c>
    </row>
    <row r="56">
      <c r="A56" s="11"/>
      <c r="B56" s="11"/>
      <c r="C56" s="11"/>
      <c r="D56" s="11"/>
      <c r="E56" s="9" t="s">
        <v>167</v>
      </c>
    </row>
    <row r="57">
      <c r="A57" s="11"/>
      <c r="B57" s="11"/>
      <c r="C57" s="11"/>
      <c r="D57" s="11"/>
      <c r="E57" s="9" t="s">
        <v>168</v>
      </c>
    </row>
    <row r="58">
      <c r="A58" s="11"/>
      <c r="B58" s="11"/>
      <c r="C58" s="11"/>
      <c r="D58" s="11"/>
      <c r="E58" s="9" t="s">
        <v>169</v>
      </c>
    </row>
    <row r="59">
      <c r="A59" s="11"/>
      <c r="B59" s="11"/>
      <c r="C59" s="11"/>
      <c r="D59" s="11"/>
      <c r="E59" s="9" t="s">
        <v>170</v>
      </c>
    </row>
    <row r="60">
      <c r="A60" s="11"/>
      <c r="B60" s="11"/>
      <c r="C60" s="11"/>
      <c r="D60" s="11"/>
      <c r="E60" s="9" t="s">
        <v>171</v>
      </c>
    </row>
    <row r="61">
      <c r="A61" s="11"/>
      <c r="B61" s="11"/>
      <c r="C61" s="11"/>
      <c r="D61" s="11"/>
      <c r="E61" s="9" t="s">
        <v>172</v>
      </c>
    </row>
    <row r="62">
      <c r="A62" s="11"/>
      <c r="B62" s="11"/>
      <c r="C62" s="11"/>
      <c r="D62" s="11"/>
      <c r="E62" s="9" t="s">
        <v>173</v>
      </c>
    </row>
    <row r="63">
      <c r="A63" s="11"/>
      <c r="B63" s="11"/>
      <c r="C63" s="11"/>
      <c r="D63" s="11"/>
      <c r="E63" s="9" t="s">
        <v>174</v>
      </c>
    </row>
    <row r="64">
      <c r="A64" s="11"/>
      <c r="B64" s="11"/>
      <c r="C64" s="11"/>
      <c r="D64" s="11"/>
      <c r="E64" s="9" t="s">
        <v>175</v>
      </c>
    </row>
    <row r="65">
      <c r="A65" s="11"/>
      <c r="B65" s="11"/>
      <c r="C65" s="11"/>
      <c r="D65" s="11"/>
      <c r="E65" s="9" t="s">
        <v>176</v>
      </c>
    </row>
    <row r="66">
      <c r="A66" s="11"/>
      <c r="B66" s="11"/>
      <c r="C66" s="11"/>
      <c r="D66" s="11"/>
      <c r="E66" s="9" t="s">
        <v>177</v>
      </c>
    </row>
    <row r="67">
      <c r="A67" s="11"/>
      <c r="B67" s="11"/>
      <c r="C67" s="11"/>
      <c r="D67" s="11"/>
      <c r="E67" s="9" t="s">
        <v>179</v>
      </c>
    </row>
    <row r="68">
      <c r="A68" s="11"/>
      <c r="B68" s="11"/>
      <c r="C68" s="11"/>
      <c r="D68" s="11"/>
      <c r="E68" s="9" t="s">
        <v>180</v>
      </c>
    </row>
    <row r="69">
      <c r="A69" s="11"/>
      <c r="B69" s="11"/>
      <c r="C69" s="11"/>
      <c r="D69" s="11"/>
      <c r="E69" s="9" t="s">
        <v>181</v>
      </c>
    </row>
    <row r="70">
      <c r="A70" s="11"/>
      <c r="B70" s="11"/>
      <c r="C70" s="11"/>
      <c r="D70" s="11"/>
      <c r="E70" s="9" t="s">
        <v>182</v>
      </c>
    </row>
    <row r="71">
      <c r="A71" s="11"/>
      <c r="B71" s="11"/>
      <c r="C71" s="11"/>
      <c r="D71" s="11"/>
      <c r="E71" s="9" t="s">
        <v>184</v>
      </c>
    </row>
    <row r="72">
      <c r="A72" s="11"/>
      <c r="B72" s="11"/>
      <c r="C72" s="11"/>
      <c r="D72" s="11"/>
      <c r="E72" s="9" t="s">
        <v>185</v>
      </c>
    </row>
    <row r="73">
      <c r="A73" s="11"/>
      <c r="B73" s="11"/>
      <c r="C73" s="11"/>
      <c r="D73" s="11"/>
      <c r="E73" s="9" t="s">
        <v>187</v>
      </c>
    </row>
    <row r="74">
      <c r="A74" s="11"/>
      <c r="B74" s="11"/>
      <c r="C74" s="11"/>
      <c r="D74" s="11"/>
      <c r="E74" s="9" t="s">
        <v>188</v>
      </c>
    </row>
    <row r="75">
      <c r="A75" s="11"/>
      <c r="B75" s="11"/>
      <c r="C75" s="11"/>
      <c r="D75" s="11"/>
      <c r="E75" s="9" t="s">
        <v>189</v>
      </c>
    </row>
    <row r="76">
      <c r="A76" s="11"/>
      <c r="B76" s="11"/>
      <c r="C76" s="11"/>
      <c r="D76" s="11"/>
      <c r="E76" s="9" t="s">
        <v>190</v>
      </c>
    </row>
    <row r="77">
      <c r="A77" s="11"/>
      <c r="B77" s="11"/>
      <c r="C77" s="11"/>
      <c r="D77" s="11"/>
      <c r="E77" s="9" t="s">
        <v>191</v>
      </c>
    </row>
    <row r="78">
      <c r="A78" s="11"/>
      <c r="B78" s="11"/>
      <c r="C78" s="11"/>
      <c r="D78" s="11"/>
      <c r="E78" s="9" t="s">
        <v>192</v>
      </c>
    </row>
    <row r="79">
      <c r="A79" s="11"/>
      <c r="B79" s="11"/>
      <c r="C79" s="11"/>
      <c r="D79" s="11"/>
      <c r="E79" s="9" t="s">
        <v>193</v>
      </c>
    </row>
    <row r="80">
      <c r="A80" s="11"/>
      <c r="B80" s="11"/>
      <c r="C80" s="11"/>
      <c r="D80" s="11"/>
      <c r="E80" s="9" t="s">
        <v>194</v>
      </c>
    </row>
    <row r="81">
      <c r="A81" s="11"/>
      <c r="B81" s="11"/>
      <c r="C81" s="11"/>
      <c r="D81" s="11"/>
      <c r="E81" s="9" t="s">
        <v>195</v>
      </c>
    </row>
    <row r="82">
      <c r="A82" s="11"/>
      <c r="B82" s="11"/>
      <c r="C82" s="11"/>
      <c r="D82" s="11"/>
      <c r="E82" s="9" t="s">
        <v>196</v>
      </c>
    </row>
    <row r="83">
      <c r="A83" s="11"/>
      <c r="B83" s="11"/>
      <c r="C83" s="11"/>
      <c r="D83" s="11"/>
      <c r="E83" s="9" t="s">
        <v>197</v>
      </c>
    </row>
    <row r="84">
      <c r="A84" s="11"/>
      <c r="B84" s="11"/>
      <c r="C84" s="11"/>
      <c r="D84" s="11"/>
      <c r="E84" s="9" t="s">
        <v>199</v>
      </c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58</v>
      </c>
      <c r="B1" s="18" t="s">
        <v>67</v>
      </c>
      <c r="C1" s="18" t="s">
        <v>0</v>
      </c>
      <c r="D1" s="18" t="s">
        <v>68</v>
      </c>
      <c r="E1" s="18" t="s">
        <v>69</v>
      </c>
      <c r="F1" s="18" t="s">
        <v>60</v>
      </c>
      <c r="G1" s="18" t="s">
        <v>7</v>
      </c>
      <c r="H1" s="18" t="s">
        <v>204</v>
      </c>
      <c r="I1" s="18" t="s">
        <v>72</v>
      </c>
      <c r="J1" s="18" t="s">
        <v>70</v>
      </c>
      <c r="K1" s="18" t="s">
        <v>206</v>
      </c>
      <c r="L1" s="18" t="s">
        <v>62</v>
      </c>
      <c r="M1" s="18" t="s">
        <v>207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1" t="str">
        <f>IFERROR(__xludf.DUMMYFUNCTION("QUERY(
  VSTACK(
    A00_General,
    A01_Chassis,
    A02_Powertrain,
    A01_High_Voltage,
    A02_Modules,
    A03_Case,
    A04_Accumulator_Electronics,
    A05_Inverter_Enclosure,
    A06_Powerhouse,
    A07_Control_Panel,
    A08_RTML_and_TSSI,
    "&amp;"A09_Other_High_Voltage,
    A01_Low_Voltage,
    A02_Harness,
    A03_ECU,
    A04_BMS_Child,
    A05_ACU,
    A06_Shutdown,
    A07_Discharge,
    A08_PDU,
    A09_Dash,
    A10_Other_Low_Voltage,
    A01_Cooling,
    A02_Liquid_Loop,
    A03_Cooling_Sle"&amp;"eve,
    A04_Accumulator_Cooling,
    A05_Other_Cooling,
    A01_Firmware,
    A02_BMS_Code,
    A03_ECU_Code,
    A04_Active_VD_Controls,
    A05_Dash_Firmware,
    A06_Other_Firmware,
    A01_Autonomy,
    A02_Autonomy_Mechanical,
    A03_Path_Planning_"&amp;"and_Following,
    A04_Sensors_and_Harnessing,
    A05_Compute_and_Hardware,
    A06_Perception_and_Data_Interface,
    A07_Software_Pipeline,
    A08_Other_Autonomy,
    A01_Aerodynamics,
    A02_Front_Wing,
    A03_Rear_Wing,
    A04_Undertray,
    A05_"&amp;"Auxiliary_Elements,
    A06_Sidepod,
    A07_CFD,
    A08_Other_Aerodynamics,
    A01_Ergonomics,
    A02_Steering,
    A03_Pedals,
    A04_Seat,
    A05_Firewall,
    A06_Head_Restraint,
    A07_Steering_Wheel,
    A08_Other_Ergonomics,
    A01_Monocoque"&amp;",
    A02_MO_Geometry,
    A03_Protective_Structures,
    A05_SES_and_Ply_Schedules,
    A06_Other_Monocoque,
    A01_Suspension,
    A02_Links,
    A03_Clevises,
    A04_Rockers,
    A05_Anti_Roll,
    A08_Jig_Plate,
    A09_Other_Suspension,
    A01_Uns"&amp;"prung,
    A02_Hubs_and_Uprights,
    A03_Brakes,
    A04_Gearbox,
    A05_Other_Unsprung,
    A01_Business,
    A02_Purchasing,
    A03_Recruitment,
    A04_Business_Presentations,
    A05_Fundraising_and_Sponsors,
    A06_Website,
    A07_Social_Media,
"&amp;"    A08_Merch,
    A09_Other_Business
  ),
  ""where Col1 is not null"",
  0
)"),"GE_A00_T001")</f>
        <v>GE_A00_T001</v>
      </c>
      <c r="B2" s="11" t="str">
        <f>IFERROR(__xludf.DUMMYFUNCTION("""COMPUTED_VALUE"""),"Subteam part designer sprints")</f>
        <v>Subteam part designer sprints</v>
      </c>
      <c r="C2" s="11" t="str">
        <f>IFERROR(__xludf.DUMMYFUNCTION("""COMPUTED_VALUE"""),"General")</f>
        <v>General</v>
      </c>
      <c r="D2" s="20">
        <f>IFERROR(__xludf.DUMMYFUNCTION("""COMPUTED_VALUE"""),46265.0)</f>
        <v>46265</v>
      </c>
      <c r="E2" s="20">
        <f>IFERROR(__xludf.DUMMYFUNCTION("""COMPUTED_VALUE"""),46269.0)</f>
        <v>46269</v>
      </c>
      <c r="F2" s="11" t="str">
        <f>IFERROR(__xludf.DUMMYFUNCTION("""COMPUTED_VALUE"""),"In Progress")</f>
        <v>In Progress</v>
      </c>
      <c r="G2" s="11"/>
      <c r="H2" s="11"/>
      <c r="I2" s="11" t="str">
        <f>IFERROR(__xludf.DUMMYFUNCTION("""COMPUTED_VALUE"""),"High")</f>
        <v>High</v>
      </c>
      <c r="J2" s="11"/>
      <c r="K2" s="11"/>
      <c r="L2" s="11"/>
      <c r="M2" s="11" t="str">
        <f>IFERROR(__xludf.DUMMYFUNCTION("""COMPUTED_VALUE"""),"A00 - General")</f>
        <v>A00 - General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tr">
        <f>IFERROR(__xludf.DUMMYFUNCTION("""COMPUTED_VALUE"""),"GE_A00_T002")</f>
        <v>GE_A00_T002</v>
      </c>
      <c r="B3" s="11" t="str">
        <f>IFERROR(__xludf.DUMMYFUNCTION("""COMPUTED_VALUE"""),"Tuning for Toronto Shootout")</f>
        <v>Tuning for Toronto Shootout</v>
      </c>
      <c r="C3" s="11" t="str">
        <f>IFERROR(__xludf.DUMMYFUNCTION("""COMPUTED_VALUE"""),"General")</f>
        <v>General</v>
      </c>
      <c r="D3" s="20">
        <f>IFERROR(__xludf.DUMMYFUNCTION("""COMPUTED_VALUE"""),46286.0)</f>
        <v>46286</v>
      </c>
      <c r="E3" s="20">
        <f>IFERROR(__xludf.DUMMYFUNCTION("""COMPUTED_VALUE"""),46295.0)</f>
        <v>46295</v>
      </c>
      <c r="F3" s="11" t="str">
        <f>IFERROR(__xludf.DUMMYFUNCTION("""COMPUTED_VALUE"""),"Not Started")</f>
        <v>Not Started</v>
      </c>
      <c r="G3" s="11"/>
      <c r="H3" s="11" t="str">
        <f>IFERROR(__xludf.DUMMYFUNCTION("""COMPUTED_VALUE"""),"Caroline Moskal")</f>
        <v>Caroline Moskal</v>
      </c>
      <c r="I3" s="11" t="str">
        <f>IFERROR(__xludf.DUMMYFUNCTION("""COMPUTED_VALUE"""),"High")</f>
        <v>High</v>
      </c>
      <c r="J3" s="11"/>
      <c r="K3" s="11"/>
      <c r="L3" s="11"/>
      <c r="M3" s="11" t="str">
        <f>IFERROR(__xludf.DUMMYFUNCTION("""COMPUTED_VALUE"""),"A00 - General")</f>
        <v>A00 - General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tr">
        <f>IFERROR(__xludf.DUMMYFUNCTION("""COMPUTED_VALUE"""),"GE_A00_T003")</f>
        <v>GE_A00_T003</v>
      </c>
      <c r="B4" s="11" t="str">
        <f>IFERROR(__xludf.DUMMYFUNCTION("""COMPUTED_VALUE"""),"Pack for Toronto Shootout")</f>
        <v>Pack for Toronto Shootout</v>
      </c>
      <c r="C4" s="11" t="str">
        <f>IFERROR(__xludf.DUMMYFUNCTION("""COMPUTED_VALUE"""),"General")</f>
        <v>General</v>
      </c>
      <c r="D4" s="20">
        <f>IFERROR(__xludf.DUMMYFUNCTION("""COMPUTED_VALUE"""),46296.0)</f>
        <v>46296</v>
      </c>
      <c r="E4" s="20">
        <f>IFERROR(__xludf.DUMMYFUNCTION("""COMPUTED_VALUE"""),46297.0)</f>
        <v>46297</v>
      </c>
      <c r="F4" s="11" t="str">
        <f>IFERROR(__xludf.DUMMYFUNCTION("""COMPUTED_VALUE"""),"Not Started")</f>
        <v>Not Started</v>
      </c>
      <c r="G4" s="11"/>
      <c r="H4" s="11" t="str">
        <f>IFERROR(__xludf.DUMMYFUNCTION("""COMPUTED_VALUE"""),"Caroline Moskal")</f>
        <v>Caroline Moskal</v>
      </c>
      <c r="I4" s="11" t="str">
        <f>IFERROR(__xludf.DUMMYFUNCTION("""COMPUTED_VALUE"""),"High")</f>
        <v>High</v>
      </c>
      <c r="J4" s="11"/>
      <c r="K4" s="11"/>
      <c r="L4" s="11"/>
      <c r="M4" s="11" t="str">
        <f>IFERROR(__xludf.DUMMYFUNCTION("""COMPUTED_VALUE"""),"A00 - General")</f>
        <v>A00 - General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tr">
        <f>IFERROR(__xludf.DUMMYFUNCTION("""COMPUTED_VALUE"""),"GE_A00_T004")</f>
        <v>GE_A00_T004</v>
      </c>
      <c r="B5" s="11" t="str">
        <f>IFERROR(__xludf.DUMMYFUNCTION("""COMPUTED_VALUE"""),"Tech inspection for Toronto Shootout")</f>
        <v>Tech inspection for Toronto Shootout</v>
      </c>
      <c r="C5" s="11" t="str">
        <f>IFERROR(__xludf.DUMMYFUNCTION("""COMPUTED_VALUE"""),"General")</f>
        <v>General</v>
      </c>
      <c r="D5" s="20">
        <f>IFERROR(__xludf.DUMMYFUNCTION("""COMPUTED_VALUE"""),46293.0)</f>
        <v>46293</v>
      </c>
      <c r="E5" s="20">
        <f>IFERROR(__xludf.DUMMYFUNCTION("""COMPUTED_VALUE"""),46295.0)</f>
        <v>46295</v>
      </c>
      <c r="F5" s="11" t="str">
        <f>IFERROR(__xludf.DUMMYFUNCTION("""COMPUTED_VALUE"""),"Not Started")</f>
        <v>Not Started</v>
      </c>
      <c r="G5" s="11"/>
      <c r="H5" s="11" t="str">
        <f>IFERROR(__xludf.DUMMYFUNCTION("""COMPUTED_VALUE"""),"Caroline Moskal")</f>
        <v>Caroline Moskal</v>
      </c>
      <c r="I5" s="11" t="str">
        <f>IFERROR(__xludf.DUMMYFUNCTION("""COMPUTED_VALUE"""),"High")</f>
        <v>High</v>
      </c>
      <c r="J5" s="11" t="str">
        <f>IFERROR(__xludf.DUMMYFUNCTION("""COMPUTED_VALUE"""),"GE_A00_T002")</f>
        <v>GE_A00_T002</v>
      </c>
      <c r="K5" s="11"/>
      <c r="L5" s="11"/>
      <c r="M5" s="11" t="str">
        <f>IFERROR(__xludf.DUMMYFUNCTION("""COMPUTED_VALUE"""),"A00 - General")</f>
        <v>A00 - General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tr">
        <f>IFERROR(__xludf.DUMMYFUNCTION("""COMPUTED_VALUE"""),"GE_A01_T001")</f>
        <v>GE_A01_T001</v>
      </c>
      <c r="B6" s="11" t="str">
        <f>IFERROR(__xludf.DUMMYFUNCTION("""COMPUTED_VALUE"""),"Mech Check outs for ARG26")</f>
        <v>Mech Check outs for ARG26</v>
      </c>
      <c r="C6" s="11" t="str">
        <f>IFERROR(__xludf.DUMMYFUNCTION("""COMPUTED_VALUE"""),"Chassis")</f>
        <v>Chassis</v>
      </c>
      <c r="D6" s="20">
        <f>IFERROR(__xludf.DUMMYFUNCTION("""COMPUTED_VALUE"""),46264.0)</f>
        <v>46264</v>
      </c>
      <c r="E6" s="20">
        <f>IFERROR(__xludf.DUMMYFUNCTION("""COMPUTED_VALUE"""),46266.0)</f>
        <v>46266</v>
      </c>
      <c r="F6" s="11" t="str">
        <f>IFERROR(__xludf.DUMMYFUNCTION("""COMPUTED_VALUE"""),"Complete")</f>
        <v>Complete</v>
      </c>
      <c r="G6" s="11"/>
      <c r="H6" s="11" t="str">
        <f>IFERROR(__xludf.DUMMYFUNCTION("""COMPUTED_VALUE"""),"Nicholas Gavalas")</f>
        <v>Nicholas Gavalas</v>
      </c>
      <c r="I6" s="11" t="str">
        <f>IFERROR(__xludf.DUMMYFUNCTION("""COMPUTED_VALUE"""),"High")</f>
        <v>High</v>
      </c>
      <c r="J6" s="11"/>
      <c r="K6" s="11"/>
      <c r="L6" s="11"/>
      <c r="M6" s="11" t="str">
        <f>IFERROR(__xludf.DUMMYFUNCTION("""COMPUTED_VALUE"""),"A01 - Chassis")</f>
        <v>A01 - Chassis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tr">
        <f>IFERROR(__xludf.DUMMYFUNCTION("""COMPUTED_VALUE"""),"GE_A01_T002")</f>
        <v>GE_A01_T002</v>
      </c>
      <c r="B7" s="11" t="str">
        <f>IFERROR(__xludf.DUMMYFUNCTION("""COMPUTED_VALUE"""),"ARG26 Bolt Check")</f>
        <v>ARG26 Bolt Check</v>
      </c>
      <c r="C7" s="11" t="str">
        <f>IFERROR(__xludf.DUMMYFUNCTION("""COMPUTED_VALUE"""),"Chassis")</f>
        <v>Chassis</v>
      </c>
      <c r="D7" s="20">
        <f>IFERROR(__xludf.DUMMYFUNCTION("""COMPUTED_VALUE"""),46264.0)</f>
        <v>46264</v>
      </c>
      <c r="E7" s="20">
        <f>IFERROR(__xludf.DUMMYFUNCTION("""COMPUTED_VALUE"""),46265.0)</f>
        <v>46265</v>
      </c>
      <c r="F7" s="11" t="str">
        <f>IFERROR(__xludf.DUMMYFUNCTION("""COMPUTED_VALUE"""),"In Progress")</f>
        <v>In Progress</v>
      </c>
      <c r="G7" s="11"/>
      <c r="H7" s="11" t="str">
        <f>IFERROR(__xludf.DUMMYFUNCTION("""COMPUTED_VALUE"""),"Nicholas Gavalas")</f>
        <v>Nicholas Gavalas</v>
      </c>
      <c r="I7" s="11" t="str">
        <f>IFERROR(__xludf.DUMMYFUNCTION("""COMPUTED_VALUE"""),"High")</f>
        <v>High</v>
      </c>
      <c r="J7" s="11"/>
      <c r="K7" s="11"/>
      <c r="L7" s="11"/>
      <c r="M7" s="11" t="str">
        <f>IFERROR(__xludf.DUMMYFUNCTION("""COMPUTED_VALUE"""),"A01 - Chassis")</f>
        <v>A01 - Chassis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tr">
        <f>IFERROR(__xludf.DUMMYFUNCTION("""COMPUTED_VALUE"""),"GE_A02_T001")</f>
        <v>GE_A02_T001</v>
      </c>
      <c r="B8" s="11" t="str">
        <f>IFERROR(__xludf.DUMMYFUNCTION("""COMPUTED_VALUE"""),"EV Check outs for ARG26")</f>
        <v>EV Check outs for ARG26</v>
      </c>
      <c r="C8" s="11" t="str">
        <f>IFERROR(__xludf.DUMMYFUNCTION("""COMPUTED_VALUE"""),"Powertrain")</f>
        <v>Powertrain</v>
      </c>
      <c r="D8" s="20">
        <f>IFERROR(__xludf.DUMMYFUNCTION("""COMPUTED_VALUE"""),46265.0)</f>
        <v>46265</v>
      </c>
      <c r="E8" s="20">
        <f>IFERROR(__xludf.DUMMYFUNCTION("""COMPUTED_VALUE"""),46267.0)</f>
        <v>46267</v>
      </c>
      <c r="F8" s="11" t="str">
        <f>IFERROR(__xludf.DUMMYFUNCTION("""COMPUTED_VALUE"""),"Not Started")</f>
        <v>Not Started</v>
      </c>
      <c r="G8" s="11"/>
      <c r="H8" s="11" t="str">
        <f>IFERROR(__xludf.DUMMYFUNCTION("""COMPUTED_VALUE"""),"Will Hutter")</f>
        <v>Will Hutter</v>
      </c>
      <c r="I8" s="11" t="str">
        <f>IFERROR(__xludf.DUMMYFUNCTION("""COMPUTED_VALUE"""),"High")</f>
        <v>High</v>
      </c>
      <c r="J8" s="11" t="str">
        <f>IFERROR(__xludf.DUMMYFUNCTION("""COMPUTED_VALUE"""),"GE_A01_T002")</f>
        <v>GE_A01_T002</v>
      </c>
      <c r="K8" s="11"/>
      <c r="L8" s="11"/>
      <c r="M8" s="11" t="str">
        <f>IFERROR(__xludf.DUMMYFUNCTION("""COMPUTED_VALUE"""),"A02 - Powertrain")</f>
        <v>A02 - Powertrain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tr">
        <f>IFERROR(__xludf.DUMMYFUNCTION("""COMPUTED_VALUE"""),"GE_A02_T002")</f>
        <v>GE_A02_T002</v>
      </c>
      <c r="B9" s="11" t="str">
        <f>IFERROR(__xludf.DUMMYFUNCTION("""COMPUTED_VALUE"""),"Sensor integration on ARG26")</f>
        <v>Sensor integration on ARG26</v>
      </c>
      <c r="C9" s="11" t="str">
        <f>IFERROR(__xludf.DUMMYFUNCTION("""COMPUTED_VALUE"""),"Powertrain")</f>
        <v>Powertrain</v>
      </c>
      <c r="D9" s="20">
        <f>IFERROR(__xludf.DUMMYFUNCTION("""COMPUTED_VALUE"""),46266.0)</f>
        <v>46266</v>
      </c>
      <c r="E9" s="20">
        <f>IFERROR(__xludf.DUMMYFUNCTION("""COMPUTED_VALUE"""),46270.0)</f>
        <v>46270</v>
      </c>
      <c r="F9" s="11" t="str">
        <f>IFERROR(__xludf.DUMMYFUNCTION("""COMPUTED_VALUE"""),"Not Started")</f>
        <v>Not Started</v>
      </c>
      <c r="G9" s="11"/>
      <c r="H9" s="11" t="str">
        <f>IFERROR(__xludf.DUMMYFUNCTION("""COMPUTED_VALUE"""),"Will Hutter")</f>
        <v>Will Hutter</v>
      </c>
      <c r="I9" s="11" t="str">
        <f>IFERROR(__xludf.DUMMYFUNCTION("""COMPUTED_VALUE"""),"High")</f>
        <v>High</v>
      </c>
      <c r="J9" s="11"/>
      <c r="K9" s="11"/>
      <c r="L9" s="11"/>
      <c r="M9" s="11" t="str">
        <f>IFERROR(__xludf.DUMMYFUNCTION("""COMPUTED_VALUE"""),"A02 - Powertrain")</f>
        <v>A02 - Powertrain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tr">
        <f>IFERROR(__xludf.DUMMYFUNCTION("""COMPUTED_VALUE"""),"GE_A02_T003")</f>
        <v>GE_A02_T003</v>
      </c>
      <c r="B10" s="11" t="str">
        <f>IFERROR(__xludf.DUMMYFUNCTION("""COMPUTED_VALUE"""),"Charging ARG26 pack")</f>
        <v>Charging ARG26 pack</v>
      </c>
      <c r="C10" s="11" t="str">
        <f>IFERROR(__xludf.DUMMYFUNCTION("""COMPUTED_VALUE"""),"Powertrain")</f>
        <v>Powertrain</v>
      </c>
      <c r="D10" s="20">
        <f>IFERROR(__xludf.DUMMYFUNCTION("""COMPUTED_VALUE"""),46267.0)</f>
        <v>46267</v>
      </c>
      <c r="E10" s="20">
        <f>IFERROR(__xludf.DUMMYFUNCTION("""COMPUTED_VALUE"""),46269.0)</f>
        <v>46269</v>
      </c>
      <c r="F10" s="11" t="str">
        <f>IFERROR(__xludf.DUMMYFUNCTION("""COMPUTED_VALUE"""),"Complete")</f>
        <v>Complete</v>
      </c>
      <c r="G10" s="11"/>
      <c r="H10" s="11" t="str">
        <f>IFERROR(__xludf.DUMMYFUNCTION("""COMPUTED_VALUE"""),"Will Hutter")</f>
        <v>Will Hutter</v>
      </c>
      <c r="I10" s="11" t="str">
        <f>IFERROR(__xludf.DUMMYFUNCTION("""COMPUTED_VALUE"""),"High")</f>
        <v>High</v>
      </c>
      <c r="J10" s="11"/>
      <c r="K10" s="11"/>
      <c r="L10" s="11"/>
      <c r="M10" s="11" t="str">
        <f>IFERROR(__xludf.DUMMYFUNCTION("""COMPUTED_VALUE"""),"A02 - Powertrain")</f>
        <v>A02 - Powertrain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tr">
        <f>IFERROR(__xludf.DUMMYFUNCTION("""COMPUTED_VALUE"""),"HV_A01_T001")</f>
        <v>HV_A01_T001</v>
      </c>
      <c r="B11" s="11" t="str">
        <f>IFERROR(__xludf.DUMMYFUNCTION("""COMPUTED_VALUE"""),"test task")</f>
        <v>test task</v>
      </c>
      <c r="C11" s="11" t="str">
        <f>IFERROR(__xludf.DUMMYFUNCTION("""COMPUTED_VALUE"""),"High Voltage")</f>
        <v>High Voltage</v>
      </c>
      <c r="D11" s="20"/>
      <c r="E11" s="20"/>
      <c r="F11" s="11"/>
      <c r="G11" s="11"/>
      <c r="H11" s="11"/>
      <c r="I11" s="11"/>
      <c r="J11" s="11"/>
      <c r="K11" s="11"/>
      <c r="L11" s="11"/>
      <c r="M11" s="11" t="str">
        <f>IFERROR(__xludf.DUMMYFUNCTION("""COMPUTED_VALUE"""),"A01 - High Voltage")</f>
        <v>A01 - High Voltage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 t="str">
        <f>IFERROR(__xludf.DUMMYFUNCTION("""COMPUTED_VALUE"""),"LV_A01_T001")</f>
        <v>LV_A01_T001</v>
      </c>
      <c r="B12" s="11" t="str">
        <f>IFERROR(__xludf.DUMMYFUNCTION("""COMPUTED_VALUE"""),"Altium library basics finished")</f>
        <v>Altium library basics finished</v>
      </c>
      <c r="C12" s="11" t="str">
        <f>IFERROR(__xludf.DUMMYFUNCTION("""COMPUTED_VALUE"""),"Low Voltage")</f>
        <v>Low Voltage</v>
      </c>
      <c r="D12" s="20">
        <f>IFERROR(__xludf.DUMMYFUNCTION("""COMPUTED_VALUE"""),46216.0)</f>
        <v>46216</v>
      </c>
      <c r="E12" s="20">
        <f>IFERROR(__xludf.DUMMYFUNCTION("""COMPUTED_VALUE"""),46243.0)</f>
        <v>46243</v>
      </c>
      <c r="F12" s="11" t="str">
        <f>IFERROR(__xludf.DUMMYFUNCTION("""COMPUTED_VALUE"""),"Review")</f>
        <v>Review</v>
      </c>
      <c r="G12" s="11"/>
      <c r="H12" s="11" t="str">
        <f>IFERROR(__xludf.DUMMYFUNCTION("""COMPUTED_VALUE"""),"Arielle Huang")</f>
        <v>Arielle Huang</v>
      </c>
      <c r="I12" s="11" t="str">
        <f>IFERROR(__xludf.DUMMYFUNCTION("""COMPUTED_VALUE"""),"High")</f>
        <v>High</v>
      </c>
      <c r="J12" s="11"/>
      <c r="K12" s="11" t="str">
        <f>IFERROR(__xludf.DUMMYFUNCTION("""COMPUTED_VALUE"""),"Commonized components")</f>
        <v>Commonized components</v>
      </c>
      <c r="L12" s="11"/>
      <c r="M12" s="11" t="str">
        <f>IFERROR(__xludf.DUMMYFUNCTION("""COMPUTED_VALUE"""),"A01 - Low Voltage")</f>
        <v>A01 - Low Voltage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 t="str">
        <f>IFERROR(__xludf.DUMMYFUNCTION("""COMPUTED_VALUE"""),"LV_A04_T001")</f>
        <v>LV_A04_T001</v>
      </c>
      <c r="B13" s="11" t="str">
        <f>IFERROR(__xludf.DUMMYFUNCTION("""COMPUTED_VALUE"""),"Design first rev of BMS Child")</f>
        <v>Design first rev of BMS Child</v>
      </c>
      <c r="C13" s="11" t="str">
        <f>IFERROR(__xludf.DUMMYFUNCTION("""COMPUTED_VALUE"""),"Low Voltage")</f>
        <v>Low Voltage</v>
      </c>
      <c r="D13" s="20">
        <f>IFERROR(__xludf.DUMMYFUNCTION("""COMPUTED_VALUE"""),46235.0)</f>
        <v>46235</v>
      </c>
      <c r="E13" s="20">
        <f>IFERROR(__xludf.DUMMYFUNCTION("""COMPUTED_VALUE"""),46266.0)</f>
        <v>46266</v>
      </c>
      <c r="F13" s="11" t="str">
        <f>IFERROR(__xludf.DUMMYFUNCTION("""COMPUTED_VALUE"""),"In Progress")</f>
        <v>In Progress</v>
      </c>
      <c r="G13" s="11"/>
      <c r="H13" s="11" t="str">
        <f>IFERROR(__xludf.DUMMYFUNCTION("""COMPUTED_VALUE"""),"Sam Hunter")</f>
        <v>Sam Hunter</v>
      </c>
      <c r="I13" s="11" t="str">
        <f>IFERROR(__xludf.DUMMYFUNCTION("""COMPUTED_VALUE"""),"High")</f>
        <v>High</v>
      </c>
      <c r="J13" s="11"/>
      <c r="K13" s="11" t="str">
        <f>IFERROR(__xludf.DUMMYFUNCTION("""COMPUTED_VALUE"""),"PCB ordered")</f>
        <v>PCB ordered</v>
      </c>
      <c r="L13" s="11"/>
      <c r="M13" s="11" t="str">
        <f>IFERROR(__xludf.DUMMYFUNCTION("""COMPUTED_VALUE"""),"A04 - BMS Child")</f>
        <v>A04 - BMS Child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 t="str">
        <f>IFERROR(__xludf.DUMMYFUNCTION("""COMPUTED_VALUE"""),"LV_A04_T002")</f>
        <v>LV_A04_T002</v>
      </c>
      <c r="B14" s="11" t="str">
        <f>IFERROR(__xludf.DUMMYFUNCTION("""COMPUTED_VALUE"""),"Test/debug first rev of BMS child")</f>
        <v>Test/debug first rev of BMS child</v>
      </c>
      <c r="C14" s="11" t="str">
        <f>IFERROR(__xludf.DUMMYFUNCTION("""COMPUTED_VALUE"""),"Low Voltage")</f>
        <v>Low Voltage</v>
      </c>
      <c r="D14" s="20">
        <f>IFERROR(__xludf.DUMMYFUNCTION("""COMPUTED_VALUE"""),46272.0)</f>
        <v>46272</v>
      </c>
      <c r="E14" s="20">
        <f>IFERROR(__xludf.DUMMYFUNCTION("""COMPUTED_VALUE"""),46286.0)</f>
        <v>46286</v>
      </c>
      <c r="F14" s="11" t="str">
        <f>IFERROR(__xludf.DUMMYFUNCTION("""COMPUTED_VALUE"""),"Not Started")</f>
        <v>Not Started</v>
      </c>
      <c r="G14" s="11"/>
      <c r="H14" s="11" t="str">
        <f>IFERROR(__xludf.DUMMYFUNCTION("""COMPUTED_VALUE"""),"Sam Hunter")</f>
        <v>Sam Hunter</v>
      </c>
      <c r="I14" s="11" t="str">
        <f>IFERROR(__xludf.DUMMYFUNCTION("""COMPUTED_VALUE"""),"High")</f>
        <v>High</v>
      </c>
      <c r="J14" s="11"/>
      <c r="K14" s="11" t="str">
        <f>IFERROR(__xludf.DUMMYFUNCTION("""COMPUTED_VALUE"""),"Test report/results + required modifications")</f>
        <v>Test report/results + required modifications</v>
      </c>
      <c r="L14" s="11" t="str">
        <f>IFERROR(__xludf.DUMMYFUNCTION("""COMPUTED_VALUE"""),"Dependent on LV006, couldn't select it")</f>
        <v>Dependent on LV006, couldn't select it</v>
      </c>
      <c r="M14" s="11" t="str">
        <f>IFERROR(__xludf.DUMMYFUNCTION("""COMPUTED_VALUE"""),"A04 - BMS Child")</f>
        <v>A04 - BMS Child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 t="str">
        <f>IFERROR(__xludf.DUMMYFUNCTION("""COMPUTED_VALUE"""),"LV_A04_T003")</f>
        <v>LV_A04_T003</v>
      </c>
      <c r="B15" s="11" t="str">
        <f>IFERROR(__xludf.DUMMYFUNCTION("""COMPUTED_VALUE"""),"Validate communication between BMS child/mother")</f>
        <v>Validate communication between BMS child/mother</v>
      </c>
      <c r="C15" s="11" t="str">
        <f>IFERROR(__xludf.DUMMYFUNCTION("""COMPUTED_VALUE"""),"Low Voltage")</f>
        <v>Low Voltage</v>
      </c>
      <c r="D15" s="20">
        <f>IFERROR(__xludf.DUMMYFUNCTION("""COMPUTED_VALUE"""),46286.0)</f>
        <v>46286</v>
      </c>
      <c r="E15" s="20">
        <f>IFERROR(__xludf.DUMMYFUNCTION("""COMPUTED_VALUE"""),46296.0)</f>
        <v>46296</v>
      </c>
      <c r="F15" s="11" t="str">
        <f>IFERROR(__xludf.DUMMYFUNCTION("""COMPUTED_VALUE"""),"Not Started")</f>
        <v>Not Started</v>
      </c>
      <c r="G15" s="11"/>
      <c r="H15" s="11" t="str">
        <f>IFERROR(__xludf.DUMMYFUNCTION("""COMPUTED_VALUE"""),"Sam Hunter")</f>
        <v>Sam Hunter</v>
      </c>
      <c r="I15" s="11" t="str">
        <f>IFERROR(__xludf.DUMMYFUNCTION("""COMPUTED_VALUE"""),"High")</f>
        <v>High</v>
      </c>
      <c r="J15" s="11"/>
      <c r="K15" s="11" t="str">
        <f>IFERROR(__xludf.DUMMYFUNCTION("""COMPUTED_VALUE"""),"Functional basic BSM system")</f>
        <v>Functional basic BSM system</v>
      </c>
      <c r="L15" s="11" t="str">
        <f>IFERROR(__xludf.DUMMYFUNCTION("""COMPUTED_VALUE"""),"Timeline dependent on LV007, couldn't select it. Also Natsu is a co-owner, couldn't add him.")</f>
        <v>Timeline dependent on LV007, couldn't select it. Also Natsu is a co-owner, couldn't add him.</v>
      </c>
      <c r="M15" s="11" t="str">
        <f>IFERROR(__xludf.DUMMYFUNCTION("""COMPUTED_VALUE"""),"A04 - BMS Child")</f>
        <v>A04 - BMS Child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 t="str">
        <f>IFERROR(__xludf.DUMMYFUNCTION("""COMPUTED_VALUE"""),"LV_A04_T004")</f>
        <v>LV_A04_T004</v>
      </c>
      <c r="B16" s="11" t="str">
        <f>IFERROR(__xludf.DUMMYFUNCTION("""COMPUTED_VALUE"""),"Design final rev of BMS child for module integration")</f>
        <v>Design final rev of BMS child for module integration</v>
      </c>
      <c r="C16" s="11" t="str">
        <f>IFERROR(__xludf.DUMMYFUNCTION("""COMPUTED_VALUE"""),"Low Voltage")</f>
        <v>Low Voltage</v>
      </c>
      <c r="D16" s="20">
        <f>IFERROR(__xludf.DUMMYFUNCTION("""COMPUTED_VALUE"""),46296.0)</f>
        <v>46296</v>
      </c>
      <c r="E16" s="20">
        <f>IFERROR(__xludf.DUMMYFUNCTION("""COMPUTED_VALUE"""),46342.0)</f>
        <v>46342</v>
      </c>
      <c r="F16" s="11" t="str">
        <f>IFERROR(__xludf.DUMMYFUNCTION("""COMPUTED_VALUE"""),"Not Started")</f>
        <v>Not Started</v>
      </c>
      <c r="G16" s="11"/>
      <c r="H16" s="11" t="str">
        <f>IFERROR(__xludf.DUMMYFUNCTION("""COMPUTED_VALUE"""),"Sam Hunter")</f>
        <v>Sam Hunter</v>
      </c>
      <c r="I16" s="11" t="str">
        <f>IFERROR(__xludf.DUMMYFUNCTION("""COMPUTED_VALUE"""),"High")</f>
        <v>High</v>
      </c>
      <c r="J16" s="11"/>
      <c r="K16" s="11" t="str">
        <f>IFERROR(__xludf.DUMMYFUNCTION("""COMPUTED_VALUE"""),"PCB ordered")</f>
        <v>PCB ordered</v>
      </c>
      <c r="L16" s="11" t="str">
        <f>IFERROR(__xludf.DUMMYFUNCTION("""COMPUTED_VALUE"""),"Dependent on LV008")</f>
        <v>Dependent on LV008</v>
      </c>
      <c r="M16" s="11" t="str">
        <f>IFERROR(__xludf.DUMMYFUNCTION("""COMPUTED_VALUE"""),"A04 - BMS Child")</f>
        <v>A04 - BMS Child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 t="str">
        <f>IFERROR(__xludf.DUMMYFUNCTION("""COMPUTED_VALUE"""),"LV_A04_T005")</f>
        <v>LV_A04_T005</v>
      </c>
      <c r="B17" s="11" t="str">
        <f>IFERROR(__xludf.DUMMYFUNCTION("""COMPUTED_VALUE"""),"Test final rev of BMS child")</f>
        <v>Test final rev of BMS child</v>
      </c>
      <c r="C17" s="11" t="str">
        <f>IFERROR(__xludf.DUMMYFUNCTION("""COMPUTED_VALUE"""),"Low Voltage")</f>
        <v>Low Voltage</v>
      </c>
      <c r="D17" s="20">
        <f>IFERROR(__xludf.DUMMYFUNCTION("""COMPUTED_VALUE"""),46349.0)</f>
        <v>46349</v>
      </c>
      <c r="E17" s="20">
        <f>IFERROR(__xludf.DUMMYFUNCTION("""COMPUTED_VALUE"""),46357.0)</f>
        <v>46357</v>
      </c>
      <c r="F17" s="11" t="str">
        <f>IFERROR(__xludf.DUMMYFUNCTION("""COMPUTED_VALUE"""),"Not Started")</f>
        <v>Not Started</v>
      </c>
      <c r="G17" s="11"/>
      <c r="H17" s="11" t="str">
        <f>IFERROR(__xludf.DUMMYFUNCTION("""COMPUTED_VALUE"""),"Sam Hunter")</f>
        <v>Sam Hunter</v>
      </c>
      <c r="I17" s="11" t="str">
        <f>IFERROR(__xludf.DUMMYFUNCTION("""COMPUTED_VALUE"""),"High")</f>
        <v>High</v>
      </c>
      <c r="J17" s="11"/>
      <c r="K17" s="11" t="str">
        <f>IFERROR(__xludf.DUMMYFUNCTION("""COMPUTED_VALUE"""),"Functioning child board")</f>
        <v>Functioning child board</v>
      </c>
      <c r="L17" s="11" t="str">
        <f>IFERROR(__xludf.DUMMYFUNCTION("""COMPUTED_VALUE"""),"Dependent on LV009")</f>
        <v>Dependent on LV009</v>
      </c>
      <c r="M17" s="11" t="str">
        <f>IFERROR(__xludf.DUMMYFUNCTION("""COMPUTED_VALUE"""),"A04 - BMS Child")</f>
        <v>A04 - BMS Child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 t="str">
        <f>IFERROR(__xludf.DUMMYFUNCTION("""COMPUTED_VALUE"""),"LV_A04_T006")</f>
        <v>LV_A04_T006</v>
      </c>
      <c r="B18" s="11" t="str">
        <f>IFERROR(__xludf.DUMMYFUNCTION("""COMPUTED_VALUE"""),"Bring up + validate all BMS children + spares")</f>
        <v>Bring up + validate all BMS children + spares</v>
      </c>
      <c r="C18" s="11" t="str">
        <f>IFERROR(__xludf.DUMMYFUNCTION("""COMPUTED_VALUE"""),"Low Voltage")</f>
        <v>Low Voltage</v>
      </c>
      <c r="D18" s="20">
        <f>IFERROR(__xludf.DUMMYFUNCTION("""COMPUTED_VALUE"""),46357.0)</f>
        <v>46357</v>
      </c>
      <c r="E18" s="20">
        <f>IFERROR(__xludf.DUMMYFUNCTION("""COMPUTED_VALUE"""),46402.0)</f>
        <v>46402</v>
      </c>
      <c r="F18" s="11" t="str">
        <f>IFERROR(__xludf.DUMMYFUNCTION("""COMPUTED_VALUE"""),"Not Started")</f>
        <v>Not Started</v>
      </c>
      <c r="G18" s="11"/>
      <c r="H18" s="11" t="str">
        <f>IFERROR(__xludf.DUMMYFUNCTION("""COMPUTED_VALUE"""),"Sam Hunter")</f>
        <v>Sam Hunter</v>
      </c>
      <c r="I18" s="11" t="str">
        <f>IFERROR(__xludf.DUMMYFUNCTION("""COMPUTED_VALUE"""),"High")</f>
        <v>High</v>
      </c>
      <c r="J18" s="11"/>
      <c r="K18" s="11" t="str">
        <f>IFERROR(__xludf.DUMMYFUNCTION("""COMPUTED_VALUE"""),"Working BMS system")</f>
        <v>Working BMS system</v>
      </c>
      <c r="L18" s="11" t="str">
        <f>IFERROR(__xludf.DUMMYFUNCTION("""COMPUTED_VALUE"""),"Dependent on LV010")</f>
        <v>Dependent on LV010</v>
      </c>
      <c r="M18" s="11" t="str">
        <f>IFERROR(__xludf.DUMMYFUNCTION("""COMPUTED_VALUE"""),"A04 - BMS Child")</f>
        <v>A04 - BMS Child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 t="str">
        <f>IFERROR(__xludf.DUMMYFUNCTION("""COMPUTED_VALUE"""),"LV_A06_T001")</f>
        <v>LV_A06_T001</v>
      </c>
      <c r="B19" s="11" t="str">
        <f>IFERROR(__xludf.DUMMYFUNCTION("""COMPUTED_VALUE"""),"Shutdown circuit closes")</f>
        <v>Shutdown circuit closes</v>
      </c>
      <c r="C19" s="11" t="str">
        <f>IFERROR(__xludf.DUMMYFUNCTION("""COMPUTED_VALUE"""),"Low Voltage")</f>
        <v>Low Voltage</v>
      </c>
      <c r="D19" s="20"/>
      <c r="E19" s="20"/>
      <c r="F19" s="11" t="str">
        <f>IFERROR(__xludf.DUMMYFUNCTION("""COMPUTED_VALUE"""),"Not Started")</f>
        <v>Not Started</v>
      </c>
      <c r="G19" s="11"/>
      <c r="H19" s="11" t="str">
        <f>IFERROR(__xludf.DUMMYFUNCTION("""COMPUTED_VALUE"""),"Arielle Huang Valerie Shu")</f>
        <v>Arielle Huang Valerie Shu</v>
      </c>
      <c r="I19" s="11"/>
      <c r="J19" s="11"/>
      <c r="K19" s="11"/>
      <c r="L19" s="11"/>
      <c r="M19" s="11" t="str">
        <f>IFERROR(__xludf.DUMMYFUNCTION("""COMPUTED_VALUE"""),"A06 - Shutdown")</f>
        <v>A06 - Shutdown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 t="str">
        <f>IFERROR(__xludf.DUMMYFUNCTION("""COMPUTED_VALUE"""),"LV_A07_T001")</f>
        <v>LV_A07_T001</v>
      </c>
      <c r="B20" s="11" t="str">
        <f>IFERROR(__xludf.DUMMYFUNCTION("""COMPUTED_VALUE"""),"Precharge and discharge validated")</f>
        <v>Precharge and discharge validated</v>
      </c>
      <c r="C20" s="11" t="str">
        <f>IFERROR(__xludf.DUMMYFUNCTION("""COMPUTED_VALUE"""),"Low Voltage")</f>
        <v>Low Voltage</v>
      </c>
      <c r="D20" s="20"/>
      <c r="E20" s="20"/>
      <c r="F20" s="11" t="str">
        <f>IFERROR(__xludf.DUMMYFUNCTION("""COMPUTED_VALUE"""),"Not Started")</f>
        <v>Not Started</v>
      </c>
      <c r="G20" s="11"/>
      <c r="H20" s="11" t="str">
        <f>IFERROR(__xludf.DUMMYFUNCTION("""COMPUTED_VALUE"""),"Arielle Huang Nathaniel Su")</f>
        <v>Arielle Huang Nathaniel Su</v>
      </c>
      <c r="I20" s="11"/>
      <c r="J20" s="11"/>
      <c r="K20" s="11"/>
      <c r="L20" s="11"/>
      <c r="M20" s="11" t="str">
        <f>IFERROR(__xludf.DUMMYFUNCTION("""COMPUTED_VALUE"""),"A07 - Discharge")</f>
        <v>A07 - Discharge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 t="str">
        <f>IFERROR(__xludf.DUMMYFUNCTION("""COMPUTED_VALUE"""),"LV_A08_T001")</f>
        <v>LV_A08_T001</v>
      </c>
      <c r="B21" s="11" t="str">
        <f>IFERROR(__xludf.DUMMYFUNCTION("""COMPUTED_VALUE"""),"Get PDM08 and ACC3s")</f>
        <v>Get PDM08 and ACC3s</v>
      </c>
      <c r="C21" s="11" t="str">
        <f>IFERROR(__xludf.DUMMYFUNCTION("""COMPUTED_VALUE"""),"Low Voltage")</f>
        <v>Low Voltage</v>
      </c>
      <c r="D21" s="20">
        <f>IFERROR(__xludf.DUMMYFUNCTION("""COMPUTED_VALUE"""),46243.0)</f>
        <v>46243</v>
      </c>
      <c r="E21" s="20">
        <f>IFERROR(__xludf.DUMMYFUNCTION("""COMPUTED_VALUE"""),46272.0)</f>
        <v>46272</v>
      </c>
      <c r="F21" s="11" t="str">
        <f>IFERROR(__xludf.DUMMYFUNCTION("""COMPUTED_VALUE"""),"Not Started")</f>
        <v>Not Started</v>
      </c>
      <c r="G21" s="11"/>
      <c r="H21" s="11"/>
      <c r="I21" s="11"/>
      <c r="J21" s="11"/>
      <c r="K21" s="11"/>
      <c r="L21" s="11"/>
      <c r="M21" s="11" t="str">
        <f>IFERROR(__xludf.DUMMYFUNCTION("""COMPUTED_VALUE"""),"A08 - PDU")</f>
        <v>A08 - PDU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 t="str">
        <f>IFERROR(__xludf.DUMMYFUNCTION("""COMPUTED_VALUE"""),"LV_A08_T002")</f>
        <v>LV_A08_T002</v>
      </c>
      <c r="B22" s="11" t="str">
        <f>IFERROR(__xludf.DUMMYFUNCTION("""COMPUTED_VALUE"""),"HV DCDC/LV DCDC Choice")</f>
        <v>HV DCDC/LV DCDC Choice</v>
      </c>
      <c r="C22" s="11" t="str">
        <f>IFERROR(__xludf.DUMMYFUNCTION("""COMPUTED_VALUE"""),"Low Voltage")</f>
        <v>Low Voltage</v>
      </c>
      <c r="D22" s="20"/>
      <c r="E22" s="20"/>
      <c r="F22" s="11" t="str">
        <f>IFERROR(__xludf.DUMMYFUNCTION("""COMPUTED_VALUE"""),"In Progress")</f>
        <v>In Progress</v>
      </c>
      <c r="G22" s="11"/>
      <c r="H22" s="11" t="str">
        <f>IFERROR(__xludf.DUMMYFUNCTION("""COMPUTED_VALUE"""),"Arielle Huang Sean Li")</f>
        <v>Arielle Huang Sean Li</v>
      </c>
      <c r="I22" s="11"/>
      <c r="J22" s="11"/>
      <c r="K22" s="11" t="str">
        <f>IFERROR(__xludf.DUMMYFUNCTION("""COMPUTED_VALUE"""),"HV DCDC locked")</f>
        <v>HV DCDC locked</v>
      </c>
      <c r="L22" s="11" t="str">
        <f>IFERROR(__xludf.DUMMYFUNCTION("""COMPUTED_VALUE"""),"For PDU, depends on cooling")</f>
        <v>For PDU, depends on cooling</v>
      </c>
      <c r="M22" s="11" t="str">
        <f>IFERROR(__xludf.DUMMYFUNCTION("""COMPUTED_VALUE"""),"A08 - PDU")</f>
        <v>A08 - PDU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 t="str">
        <f>IFERROR(__xludf.DUMMYFUNCTION("""COMPUTED_VALUE"""),"LV_A08_T003")</f>
        <v>LV_A08_T003</v>
      </c>
      <c r="B23" s="11" t="str">
        <f>IFERROR(__xludf.DUMMYFUNCTION("""COMPUTED_VALUE"""),"Design first rev of PDU")</f>
        <v>Design first rev of PDU</v>
      </c>
      <c r="C23" s="11" t="str">
        <f>IFERROR(__xludf.DUMMYFUNCTION("""COMPUTED_VALUE"""),"Low Voltage")</f>
        <v>Low Voltage</v>
      </c>
      <c r="D23" s="20">
        <f>IFERROR(__xludf.DUMMYFUNCTION("""COMPUTED_VALUE"""),46239.0)</f>
        <v>46239</v>
      </c>
      <c r="E23" s="20">
        <f>IFERROR(__xludf.DUMMYFUNCTION("""COMPUTED_VALUE"""),46270.0)</f>
        <v>46270</v>
      </c>
      <c r="F23" s="11" t="str">
        <f>IFERROR(__xludf.DUMMYFUNCTION("""COMPUTED_VALUE"""),"Not Started")</f>
        <v>Not Started</v>
      </c>
      <c r="G23" s="11"/>
      <c r="H23" s="11" t="str">
        <f>IFERROR(__xludf.DUMMYFUNCTION("""COMPUTED_VALUE"""),"Sean Li")</f>
        <v>Sean Li</v>
      </c>
      <c r="I23" s="11" t="str">
        <f>IFERROR(__xludf.DUMMYFUNCTION("""COMPUTED_VALUE"""),"High")</f>
        <v>High</v>
      </c>
      <c r="J23" s="11"/>
      <c r="K23" s="11" t="str">
        <f>IFERROR(__xludf.DUMMYFUNCTION("""COMPUTED_VALUE"""),"PCB ordered")</f>
        <v>PCB ordered</v>
      </c>
      <c r="L23" s="11" t="str">
        <f>IFERROR(__xludf.DUMMYFUNCTION("""COMPUTED_VALUE"""),"dependent on cooling pump/radiator/fan selection")</f>
        <v>dependent on cooling pump/radiator/fan selection</v>
      </c>
      <c r="M23" s="11" t="str">
        <f>IFERROR(__xludf.DUMMYFUNCTION("""COMPUTED_VALUE"""),"A08 - PDU")</f>
        <v>A08 - PDU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 t="str">
        <f>IFERROR(__xludf.DUMMYFUNCTION("""COMPUTED_VALUE"""),"LV_A09_T001")</f>
        <v>LV_A09_T001</v>
      </c>
      <c r="B24" s="11" t="str">
        <f>IFERROR(__xludf.DUMMYFUNCTION("""COMPUTED_VALUE"""),"Dash multple screens")</f>
        <v>Dash multple screens</v>
      </c>
      <c r="C24" s="11" t="str">
        <f>IFERROR(__xludf.DUMMYFUNCTION("""COMPUTED_VALUE"""),"Low Voltage")</f>
        <v>Low Voltage</v>
      </c>
      <c r="D24" s="20"/>
      <c r="E24" s="20"/>
      <c r="F24" s="11" t="str">
        <f>IFERROR(__xludf.DUMMYFUNCTION("""COMPUTED_VALUE"""),"Not Started")</f>
        <v>Not Started</v>
      </c>
      <c r="G24" s="11"/>
      <c r="H24" s="11" t="str">
        <f>IFERROR(__xludf.DUMMYFUNCTION("""COMPUTED_VALUE"""),"Yifan Li Keira Chen")</f>
        <v>Yifan Li Keira Chen</v>
      </c>
      <c r="I24" s="11"/>
      <c r="J24" s="11"/>
      <c r="K24" s="11"/>
      <c r="L24" s="11"/>
      <c r="M24" s="11" t="str">
        <f>IFERROR(__xludf.DUMMYFUNCTION("""COMPUTED_VALUE"""),"A09 - Dash")</f>
        <v>A09 - Dash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 t="str">
        <f>IFERROR(__xludf.DUMMYFUNCTION("""COMPUTED_VALUE"""),"LV_A09_T002")</f>
        <v>LV_A09_T002</v>
      </c>
      <c r="B25" s="11" t="str">
        <f>IFERROR(__xludf.DUMMYFUNCTION("""COMPUTED_VALUE"""),"Design first rev of Dash")</f>
        <v>Design first rev of Dash</v>
      </c>
      <c r="C25" s="11" t="str">
        <f>IFERROR(__xludf.DUMMYFUNCTION("""COMPUTED_VALUE"""),"Low Voltage")</f>
        <v>Low Voltage</v>
      </c>
      <c r="D25" s="20"/>
      <c r="E25" s="20"/>
      <c r="F25" s="11" t="str">
        <f>IFERROR(__xludf.DUMMYFUNCTION("""COMPUTED_VALUE"""),"Planned")</f>
        <v>Planned</v>
      </c>
      <c r="G25" s="11"/>
      <c r="H25" s="11" t="str">
        <f>IFERROR(__xludf.DUMMYFUNCTION("""COMPUTED_VALUE"""),"Keira Chen")</f>
        <v>Keira Chen</v>
      </c>
      <c r="I25" s="11" t="str">
        <f>IFERROR(__xludf.DUMMYFUNCTION("""COMPUTED_VALUE"""),"Medium")</f>
        <v>Medium</v>
      </c>
      <c r="J25" s="11"/>
      <c r="K25" s="11" t="str">
        <f>IFERROR(__xludf.DUMMYFUNCTION("""COMPUTED_VALUE"""),"PCB ordered")</f>
        <v>PCB ordered</v>
      </c>
      <c r="L25" s="11"/>
      <c r="M25" s="11" t="str">
        <f>IFERROR(__xludf.DUMMYFUNCTION("""COMPUTED_VALUE"""),"A09 - Dash")</f>
        <v>A09 - Dash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 t="str">
        <f>IFERROR(__xludf.DUMMYFUNCTION("""COMPUTED_VALUE"""),"LV_A09_T003")</f>
        <v>LV_A09_T003</v>
      </c>
      <c r="B26" s="11" t="str">
        <f>IFERROR(__xludf.DUMMYFUNCTION("""COMPUTED_VALUE"""),"Order Dash components")</f>
        <v>Order Dash components</v>
      </c>
      <c r="C26" s="11" t="str">
        <f>IFERROR(__xludf.DUMMYFUNCTION("""COMPUTED_VALUE"""),"Low Voltage")</f>
        <v>Low Voltage</v>
      </c>
      <c r="D26" s="20"/>
      <c r="E26" s="20"/>
      <c r="F26" s="11" t="str">
        <f>IFERROR(__xludf.DUMMYFUNCTION("""COMPUTED_VALUE"""),"Not Started")</f>
        <v>Not Started</v>
      </c>
      <c r="G26" s="11"/>
      <c r="H26" s="11" t="str">
        <f>IFERROR(__xludf.DUMMYFUNCTION("""COMPUTED_VALUE"""),"Keira Chen")</f>
        <v>Keira Chen</v>
      </c>
      <c r="I26" s="11" t="str">
        <f>IFERROR(__xludf.DUMMYFUNCTION("""COMPUTED_VALUE"""),"Medium")</f>
        <v>Medium</v>
      </c>
      <c r="J26" s="11"/>
      <c r="K26" s="11" t="str">
        <f>IFERROR(__xludf.DUMMYFUNCTION("""COMPUTED_VALUE"""),"components arrive")</f>
        <v>components arrive</v>
      </c>
      <c r="L26" s="11"/>
      <c r="M26" s="11" t="str">
        <f>IFERROR(__xludf.DUMMYFUNCTION("""COMPUTED_VALUE"""),"A09 - Dash")</f>
        <v>A09 - Dash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 t="str">
        <f>IFERROR(__xludf.DUMMYFUNCTION("""COMPUTED_VALUE"""),"LV_A09_T004")</f>
        <v>LV_A09_T004</v>
      </c>
      <c r="B27" s="11" t="str">
        <f>IFERROR(__xludf.DUMMYFUNCTION("""COMPUTED_VALUE"""),"Bring up + Test Dash rev1")</f>
        <v>Bring up + Test Dash rev1</v>
      </c>
      <c r="C27" s="11" t="str">
        <f>IFERROR(__xludf.DUMMYFUNCTION("""COMPUTED_VALUE"""),"Low Voltage")</f>
        <v>Low Voltage</v>
      </c>
      <c r="D27" s="20"/>
      <c r="E27" s="20"/>
      <c r="F27" s="11" t="str">
        <f>IFERROR(__xludf.DUMMYFUNCTION("""COMPUTED_VALUE"""),"Not Started")</f>
        <v>Not Started</v>
      </c>
      <c r="G27" s="11"/>
      <c r="H27" s="11" t="str">
        <f>IFERROR(__xludf.DUMMYFUNCTION("""COMPUTED_VALUE"""),"Keira Chen")</f>
        <v>Keira Chen</v>
      </c>
      <c r="I27" s="11" t="str">
        <f>IFERROR(__xludf.DUMMYFUNCTION("""COMPUTED_VALUE"""),"Medium")</f>
        <v>Medium</v>
      </c>
      <c r="J27" s="11"/>
      <c r="K27" s="11" t="str">
        <f>IFERROR(__xludf.DUMMYFUNCTION("""COMPUTED_VALUE"""),"working Dash board")</f>
        <v>working Dash board</v>
      </c>
      <c r="L27" s="11"/>
      <c r="M27" s="11" t="str">
        <f>IFERROR(__xludf.DUMMYFUNCTION("""COMPUTED_VALUE"""),"A09 - Dash")</f>
        <v>A09 - Dash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 t="str">
        <f>IFERROR(__xludf.DUMMYFUNCTION("""COMPUTED_VALUE"""),"LV_A09_T005")</f>
        <v>LV_A09_T005</v>
      </c>
      <c r="B28" s="11" t="str">
        <f>IFERROR(__xludf.DUMMYFUNCTION("""COMPUTED_VALUE"""),"Dash harnessing")</f>
        <v>Dash harnessing</v>
      </c>
      <c r="C28" s="11" t="str">
        <f>IFERROR(__xludf.DUMMYFUNCTION("""COMPUTED_VALUE"""),"Low Voltage")</f>
        <v>Low Voltage</v>
      </c>
      <c r="D28" s="20"/>
      <c r="E28" s="20"/>
      <c r="F28" s="11" t="str">
        <f>IFERROR(__xludf.DUMMYFUNCTION("""COMPUTED_VALUE"""),"Not Started")</f>
        <v>Not Started</v>
      </c>
      <c r="G28" s="11"/>
      <c r="H28" s="11" t="str">
        <f>IFERROR(__xludf.DUMMYFUNCTION("""COMPUTED_VALUE"""),"Keira Chen")</f>
        <v>Keira Chen</v>
      </c>
      <c r="I28" s="11" t="str">
        <f>IFERROR(__xludf.DUMMYFUNCTION("""COMPUTED_VALUE"""),"Medium")</f>
        <v>Medium</v>
      </c>
      <c r="J28" s="11"/>
      <c r="K28" s="11" t="str">
        <f>IFERROR(__xludf.DUMMYFUNCTION("""COMPUTED_VALUE"""),"harness is complete")</f>
        <v>harness is complete</v>
      </c>
      <c r="L28" s="11"/>
      <c r="M28" s="11" t="str">
        <f>IFERROR(__xludf.DUMMYFUNCTION("""COMPUTED_VALUE"""),"A09 - Dash")</f>
        <v>A09 - Dash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 t="str">
        <f>IFERROR(__xludf.DUMMYFUNCTION("""COMPUTED_VALUE"""),"LV_A09_T006")</f>
        <v>LV_A09_T006</v>
      </c>
      <c r="B29" s="11" t="str">
        <f>IFERROR(__xludf.DUMMYFUNCTION("""COMPUTED_VALUE"""),"Dash integration")</f>
        <v>Dash integration</v>
      </c>
      <c r="C29" s="11" t="str">
        <f>IFERROR(__xludf.DUMMYFUNCTION("""COMPUTED_VALUE"""),"Low Voltage")</f>
        <v>Low Voltage</v>
      </c>
      <c r="D29" s="20"/>
      <c r="E29" s="20"/>
      <c r="F29" s="11" t="str">
        <f>IFERROR(__xludf.DUMMYFUNCTION("""COMPUTED_VALUE"""),"Not Started")</f>
        <v>Not Started</v>
      </c>
      <c r="G29" s="11"/>
      <c r="H29" s="11" t="str">
        <f>IFERROR(__xludf.DUMMYFUNCTION("""COMPUTED_VALUE"""),"Keira Chen")</f>
        <v>Keira Chen</v>
      </c>
      <c r="I29" s="11" t="str">
        <f>IFERROR(__xludf.DUMMYFUNCTION("""COMPUTED_VALUE"""),"Medium")</f>
        <v>Medium</v>
      </c>
      <c r="J29" s="11"/>
      <c r="K29" s="11" t="str">
        <f>IFERROR(__xludf.DUMMYFUNCTION("""COMPUTED_VALUE"""),"dash is on car and working")</f>
        <v>dash is on car and working</v>
      </c>
      <c r="L29" s="11"/>
      <c r="M29" s="11" t="str">
        <f>IFERROR(__xludf.DUMMYFUNCTION("""COMPUTED_VALUE"""),"A09 - Dash")</f>
        <v>A09 - Dash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 t="str">
        <f>IFERROR(__xludf.DUMMYFUNCTION("""COMPUTED_VALUE"""),"LV_A09_T007")</f>
        <v>LV_A09_T007</v>
      </c>
      <c r="B30" s="11" t="str">
        <f>IFERROR(__xludf.DUMMYFUNCTION("""COMPUTED_VALUE"""),"Bring up final rev Dash spares")</f>
        <v>Bring up final rev Dash spares</v>
      </c>
      <c r="C30" s="11" t="str">
        <f>IFERROR(__xludf.DUMMYFUNCTION("""COMPUTED_VALUE"""),"Low Voltage")</f>
        <v>Low Voltage</v>
      </c>
      <c r="D30" s="20"/>
      <c r="E30" s="20"/>
      <c r="F30" s="11" t="str">
        <f>IFERROR(__xludf.DUMMYFUNCTION("""COMPUTED_VALUE"""),"Not Started")</f>
        <v>Not Started</v>
      </c>
      <c r="G30" s="11"/>
      <c r="H30" s="11" t="str">
        <f>IFERROR(__xludf.DUMMYFUNCTION("""COMPUTED_VALUE"""),"Keira Chen")</f>
        <v>Keira Chen</v>
      </c>
      <c r="I30" s="11" t="str">
        <f>IFERROR(__xludf.DUMMYFUNCTION("""COMPUTED_VALUE"""),"Medium")</f>
        <v>Medium</v>
      </c>
      <c r="J30" s="11"/>
      <c r="K30" s="11" t="str">
        <f>IFERROR(__xludf.DUMMYFUNCTION("""COMPUTED_VALUE"""),"spares are available")</f>
        <v>spares are available</v>
      </c>
      <c r="L30" s="11"/>
      <c r="M30" s="11" t="str">
        <f>IFERROR(__xludf.DUMMYFUNCTION("""COMPUTED_VALUE"""),"A09 - Dash")</f>
        <v>A09 - Dash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 t="str">
        <f>IFERROR(__xludf.DUMMYFUNCTION("""COMPUTED_VALUE"""),"CO_A02_T002")</f>
        <v>CO_A02_T002</v>
      </c>
      <c r="B31" s="11" t="str">
        <f>IFERROR(__xludf.DUMMYFUNCTION("""COMPUTED_VALUE"""),"Run full liquid loop pressure drop test")</f>
        <v>Run full liquid loop pressure drop test</v>
      </c>
      <c r="C31" s="11" t="str">
        <f>IFERROR(__xludf.DUMMYFUNCTION("""COMPUTED_VALUE"""),"Cooling")</f>
        <v>Cooling</v>
      </c>
      <c r="D31" s="20"/>
      <c r="E31" s="20"/>
      <c r="F31" s="11" t="str">
        <f>IFERROR(__xludf.DUMMYFUNCTION("""COMPUTED_VALUE"""),"Not Started")</f>
        <v>Not Started</v>
      </c>
      <c r="G31" s="11"/>
      <c r="H31" s="11" t="str">
        <f>IFERROR(__xludf.DUMMYFUNCTION("""COMPUTED_VALUE"""),"Ilana Yousuf")</f>
        <v>Ilana Yousuf</v>
      </c>
      <c r="I31" s="11" t="str">
        <f>IFERROR(__xludf.DUMMYFUNCTION("""COMPUTED_VALUE"""),"Medium")</f>
        <v>Medium</v>
      </c>
      <c r="J31" s="11"/>
      <c r="K31" s="11"/>
      <c r="L31" s="11"/>
      <c r="M31" s="11" t="str">
        <f>IFERROR(__xludf.DUMMYFUNCTION("""COMPUTED_VALUE"""),"A02 - Liquid Loop")</f>
        <v>A02 - Liquid Loop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 t="str">
        <f>IFERROR(__xludf.DUMMYFUNCTION("""COMPUTED_VALUE"""),"CO_A02_T009")</f>
        <v>CO_A02_T009</v>
      </c>
      <c r="B32" s="11" t="str">
        <f>IFERROR(__xludf.DUMMYFUNCTION("""COMPUTED_VALUE"""),"Identify system parameters w/ hand calcs and data")</f>
        <v>Identify system parameters w/ hand calcs and data</v>
      </c>
      <c r="C32" s="11"/>
      <c r="D32" s="20"/>
      <c r="E32" s="20"/>
      <c r="F32" s="11" t="str">
        <f>IFERROR(__xludf.DUMMYFUNCTION("""COMPUTED_VALUE"""),"Not Started")</f>
        <v>Not Started</v>
      </c>
      <c r="G32" s="11"/>
      <c r="H32" s="11" t="str">
        <f>IFERROR(__xludf.DUMMYFUNCTION("""COMPUTED_VALUE"""),"Ilana Yousuf")</f>
        <v>Ilana Yousuf</v>
      </c>
      <c r="I32" s="11" t="str">
        <f>IFERROR(__xludf.DUMMYFUNCTION("""COMPUTED_VALUE"""),"High")</f>
        <v>High</v>
      </c>
      <c r="J32" s="11"/>
      <c r="K32" s="11"/>
      <c r="L32" s="11"/>
      <c r="M32" s="11" t="str">
        <f>IFERROR(__xludf.DUMMYFUNCTION("""COMPUTED_VALUE"""),"A02 - Liquid Loop")</f>
        <v>A02 - Liquid Loop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 t="str">
        <f>IFERROR(__xludf.DUMMYFUNCTION("""COMPUTED_VALUE"""),"CO_A02_T003")</f>
        <v>CO_A02_T003</v>
      </c>
      <c r="B33" s="11" t="str">
        <f>IFERROR(__xludf.DUMMYFUNCTION("""COMPUTED_VALUE"""),"Determine necessary radiator and fan specifications")</f>
        <v>Determine necessary radiator and fan specifications</v>
      </c>
      <c r="C33" s="11" t="str">
        <f>IFERROR(__xludf.DUMMYFUNCTION("""COMPUTED_VALUE"""),"Cooling")</f>
        <v>Cooling</v>
      </c>
      <c r="D33" s="20">
        <f>IFERROR(__xludf.DUMMYFUNCTION("""COMPUTED_VALUE"""),46273.0)</f>
        <v>46273</v>
      </c>
      <c r="E33" s="20">
        <f>IFERROR(__xludf.DUMMYFUNCTION("""COMPUTED_VALUE"""),46276.0)</f>
        <v>46276</v>
      </c>
      <c r="F33" s="11" t="str">
        <f>IFERROR(__xludf.DUMMYFUNCTION("""COMPUTED_VALUE"""),"Not Started")</f>
        <v>Not Started</v>
      </c>
      <c r="G33" s="11"/>
      <c r="H33" s="11" t="str">
        <f>IFERROR(__xludf.DUMMYFUNCTION("""COMPUTED_VALUE"""),"Ilana Yousuf")</f>
        <v>Ilana Yousuf</v>
      </c>
      <c r="I33" s="11" t="str">
        <f>IFERROR(__xludf.DUMMYFUNCTION("""COMPUTED_VALUE"""),"High")</f>
        <v>High</v>
      </c>
      <c r="J33" s="11"/>
      <c r="K33" s="11"/>
      <c r="L33" s="11"/>
      <c r="M33" s="11" t="str">
        <f>IFERROR(__xludf.DUMMYFUNCTION("""COMPUTED_VALUE"""),"A02 - Liquid Loop")</f>
        <v>A02 - Liquid Loop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 t="str">
        <f>IFERROR(__xludf.DUMMYFUNCTION("""COMPUTED_VALUE"""),"CO_A02_T004")</f>
        <v>CO_A02_T004</v>
      </c>
      <c r="B34" s="11" t="str">
        <f>IFERROR(__xludf.DUMMYFUNCTION("""COMPUTED_VALUE"""),"Order stock radiator for testing")</f>
        <v>Order stock radiator for testing</v>
      </c>
      <c r="C34" s="11" t="str">
        <f>IFERROR(__xludf.DUMMYFUNCTION("""COMPUTED_VALUE"""),"Cooling")</f>
        <v>Cooling</v>
      </c>
      <c r="D34" s="20">
        <f>IFERROR(__xludf.DUMMYFUNCTION("""COMPUTED_VALUE"""),46280.0)</f>
        <v>46280</v>
      </c>
      <c r="E34" s="20">
        <f>IFERROR(__xludf.DUMMYFUNCTION("""COMPUTED_VALUE"""),46285.0)</f>
        <v>46285</v>
      </c>
      <c r="F34" s="11" t="str">
        <f>IFERROR(__xludf.DUMMYFUNCTION("""COMPUTED_VALUE"""),"Not Started")</f>
        <v>Not Started</v>
      </c>
      <c r="G34" s="11"/>
      <c r="H34" s="11" t="str">
        <f>IFERROR(__xludf.DUMMYFUNCTION("""COMPUTED_VALUE"""),"Ilana Yousuf")</f>
        <v>Ilana Yousuf</v>
      </c>
      <c r="I34" s="11" t="str">
        <f>IFERROR(__xludf.DUMMYFUNCTION("""COMPUTED_VALUE"""),"Medium")</f>
        <v>Medium</v>
      </c>
      <c r="J34" s="11"/>
      <c r="K34" s="11"/>
      <c r="L34" s="11"/>
      <c r="M34" s="11" t="str">
        <f>IFERROR(__xludf.DUMMYFUNCTION("""COMPUTED_VALUE"""),"A02 - Liquid Loop")</f>
        <v>A02 - Liquid Loop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 t="str">
        <f>IFERROR(__xludf.DUMMYFUNCTION("""COMPUTED_VALUE"""),"CO_A02_T005")</f>
        <v>CO_A02_T005</v>
      </c>
      <c r="B35" s="11" t="str">
        <f>IFERROR(__xludf.DUMMYFUNCTION("""COMPUTED_VALUE"""),"Test and confirm geometry/layout")</f>
        <v>Test and confirm geometry/layout</v>
      </c>
      <c r="C35" s="11" t="str">
        <f>IFERROR(__xludf.DUMMYFUNCTION("""COMPUTED_VALUE"""),"Cooling")</f>
        <v>Cooling</v>
      </c>
      <c r="D35" s="20">
        <f>IFERROR(__xludf.DUMMYFUNCTION("""COMPUTED_VALUE"""),46280.0)</f>
        <v>46280</v>
      </c>
      <c r="E35" s="20">
        <f>IFERROR(__xludf.DUMMYFUNCTION("""COMPUTED_VALUE"""),46290.0)</f>
        <v>46290</v>
      </c>
      <c r="F35" s="11" t="str">
        <f>IFERROR(__xludf.DUMMYFUNCTION("""COMPUTED_VALUE"""),"Not Started")</f>
        <v>Not Started</v>
      </c>
      <c r="G35" s="11"/>
      <c r="H35" s="11" t="str">
        <f>IFERROR(__xludf.DUMMYFUNCTION("""COMPUTED_VALUE"""),"Ilana Yousuf")</f>
        <v>Ilana Yousuf</v>
      </c>
      <c r="I35" s="11" t="str">
        <f>IFERROR(__xludf.DUMMYFUNCTION("""COMPUTED_VALUE"""),"Medium")</f>
        <v>Medium</v>
      </c>
      <c r="J35" s="11"/>
      <c r="K35" s="11"/>
      <c r="L35" s="11"/>
      <c r="M35" s="11" t="str">
        <f>IFERROR(__xludf.DUMMYFUNCTION("""COMPUTED_VALUE"""),"A02 - Liquid Loop")</f>
        <v>A02 - Liquid Loop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 t="str">
        <f>IFERROR(__xludf.DUMMYFUNCTION("""COMPUTED_VALUE"""),"CO_A02_T001")</f>
        <v>CO_A02_T001</v>
      </c>
      <c r="B36" s="11" t="str">
        <f>IFERROR(__xludf.DUMMYFUNCTION("""COMPUTED_VALUE"""),"PRIORITY: order custom radiator")</f>
        <v>PRIORITY: order custom radiator</v>
      </c>
      <c r="C36" s="11" t="str">
        <f>IFERROR(__xludf.DUMMYFUNCTION("""COMPUTED_VALUE"""),"Cooling")</f>
        <v>Cooling</v>
      </c>
      <c r="D36" s="20">
        <f>IFERROR(__xludf.DUMMYFUNCTION("""COMPUTED_VALUE"""),46276.0)</f>
        <v>46276</v>
      </c>
      <c r="E36" s="20">
        <f>IFERROR(__xludf.DUMMYFUNCTION("""COMPUTED_VALUE"""),46295.0)</f>
        <v>46295</v>
      </c>
      <c r="F36" s="11" t="str">
        <f>IFERROR(__xludf.DUMMYFUNCTION("""COMPUTED_VALUE"""),"Not Started")</f>
        <v>Not Started</v>
      </c>
      <c r="G36" s="11"/>
      <c r="H36" s="11" t="str">
        <f>IFERROR(__xludf.DUMMYFUNCTION("""COMPUTED_VALUE"""),"Ilana Yousuf")</f>
        <v>Ilana Yousuf</v>
      </c>
      <c r="I36" s="11" t="str">
        <f>IFERROR(__xludf.DUMMYFUNCTION("""COMPUTED_VALUE"""),"High")</f>
        <v>High</v>
      </c>
      <c r="J36" s="11"/>
      <c r="K36" s="11"/>
      <c r="L36" s="11"/>
      <c r="M36" s="11" t="str">
        <f>IFERROR(__xludf.DUMMYFUNCTION("""COMPUTED_VALUE"""),"A02 - Liquid Loop")</f>
        <v>A02 - Liquid Loop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 t="str">
        <f>IFERROR(__xludf.DUMMYFUNCTION("""COMPUTED_VALUE"""),"CO_A02_T006")</f>
        <v>CO_A02_T006</v>
      </c>
      <c r="B37" s="11" t="str">
        <f>IFERROR(__xludf.DUMMYFUNCTION("""COMPUTED_VALUE"""),"Manufacture liquid loop prototype")</f>
        <v>Manufacture liquid loop prototype</v>
      </c>
      <c r="C37" s="11" t="str">
        <f>IFERROR(__xludf.DUMMYFUNCTION("""COMPUTED_VALUE"""),"Cooling")</f>
        <v>Cooling</v>
      </c>
      <c r="D37" s="20">
        <f>IFERROR(__xludf.DUMMYFUNCTION("""COMPUTED_VALUE"""),46296.0)</f>
        <v>46296</v>
      </c>
      <c r="E37" s="20">
        <f>IFERROR(__xludf.DUMMYFUNCTION("""COMPUTED_VALUE"""),46303.0)</f>
        <v>46303</v>
      </c>
      <c r="F37" s="11" t="str">
        <f>IFERROR(__xludf.DUMMYFUNCTION("""COMPUTED_VALUE"""),"Not Started")</f>
        <v>Not Started</v>
      </c>
      <c r="G37" s="11"/>
      <c r="H37" s="11" t="str">
        <f>IFERROR(__xludf.DUMMYFUNCTION("""COMPUTED_VALUE"""),"Ilana Yousuf")</f>
        <v>Ilana Yousuf</v>
      </c>
      <c r="I37" s="11" t="str">
        <f>IFERROR(__xludf.DUMMYFUNCTION("""COMPUTED_VALUE"""),"Medium")</f>
        <v>Medium</v>
      </c>
      <c r="J37" s="11"/>
      <c r="K37" s="11"/>
      <c r="L37" s="11"/>
      <c r="M37" s="11" t="str">
        <f>IFERROR(__xludf.DUMMYFUNCTION("""COMPUTED_VALUE"""),"A02 - Liquid Loop")</f>
        <v>A02 - Liquid Loop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 t="str">
        <f>IFERROR(__xludf.DUMMYFUNCTION("""COMPUTED_VALUE"""),"CO_A02_T007")</f>
        <v>CO_A02_T007</v>
      </c>
      <c r="B38" s="11" t="str">
        <f>IFERROR(__xludf.DUMMYFUNCTION("""COMPUTED_VALUE"""),"Conduct tests and collect data for pressure drop and heat rejection")</f>
        <v>Conduct tests and collect data for pressure drop and heat rejection</v>
      </c>
      <c r="C38" s="11" t="str">
        <f>IFERROR(__xludf.DUMMYFUNCTION("""COMPUTED_VALUE"""),"Cooling")</f>
        <v>Cooling</v>
      </c>
      <c r="D38" s="20">
        <f>IFERROR(__xludf.DUMMYFUNCTION("""COMPUTED_VALUE"""),46305.0)</f>
        <v>46305</v>
      </c>
      <c r="E38" s="20">
        <f>IFERROR(__xludf.DUMMYFUNCTION("""COMPUTED_VALUE"""),46312.0)</f>
        <v>46312</v>
      </c>
      <c r="F38" s="11" t="str">
        <f>IFERROR(__xludf.DUMMYFUNCTION("""COMPUTED_VALUE"""),"Not Started")</f>
        <v>Not Started</v>
      </c>
      <c r="G38" s="11"/>
      <c r="H38" s="11" t="str">
        <f>IFERROR(__xludf.DUMMYFUNCTION("""COMPUTED_VALUE"""),"Ilana Yousuf")</f>
        <v>Ilana Yousuf</v>
      </c>
      <c r="I38" s="11" t="str">
        <f>IFERROR(__xludf.DUMMYFUNCTION("""COMPUTED_VALUE"""),"High")</f>
        <v>High</v>
      </c>
      <c r="J38" s="11"/>
      <c r="K38" s="11"/>
      <c r="L38" s="11"/>
      <c r="M38" s="11" t="str">
        <f>IFERROR(__xludf.DUMMYFUNCTION("""COMPUTED_VALUE"""),"A02 - Liquid Loop")</f>
        <v>A02 - Liquid Loop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 t="str">
        <f>IFERROR(__xludf.DUMMYFUNCTION("""COMPUTED_VALUE"""),"CO_A02_T008")</f>
        <v>CO_A02_T008</v>
      </c>
      <c r="B39" s="11" t="str">
        <f>IFERROR(__xludf.DUMMYFUNCTION("""COMPUTED_VALUE"""),"Assemble final liquid loop on bench")</f>
        <v>Assemble final liquid loop on bench</v>
      </c>
      <c r="C39" s="11" t="str">
        <f>IFERROR(__xludf.DUMMYFUNCTION("""COMPUTED_VALUE"""),"Cooling")</f>
        <v>Cooling</v>
      </c>
      <c r="D39" s="20">
        <f>IFERROR(__xludf.DUMMYFUNCTION("""COMPUTED_VALUE"""),46391.0)</f>
        <v>46391</v>
      </c>
      <c r="E39" s="20">
        <f>IFERROR(__xludf.DUMMYFUNCTION("""COMPUTED_VALUE"""),46402.0)</f>
        <v>46402</v>
      </c>
      <c r="F39" s="11" t="str">
        <f>IFERROR(__xludf.DUMMYFUNCTION("""COMPUTED_VALUE"""),"Not Started")</f>
        <v>Not Started</v>
      </c>
      <c r="G39" s="11"/>
      <c r="H39" s="11" t="str">
        <f>IFERROR(__xludf.DUMMYFUNCTION("""COMPUTED_VALUE"""),"Ilana Yousuf")</f>
        <v>Ilana Yousuf</v>
      </c>
      <c r="I39" s="11" t="str">
        <f>IFERROR(__xludf.DUMMYFUNCTION("""COMPUTED_VALUE"""),"High")</f>
        <v>High</v>
      </c>
      <c r="J39" s="11"/>
      <c r="K39" s="11"/>
      <c r="L39" s="11"/>
      <c r="M39" s="11" t="str">
        <f>IFERROR(__xludf.DUMMYFUNCTION("""COMPUTED_VALUE"""),"A02 - Liquid Loop")</f>
        <v>A02 - Liquid Loop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 t="str">
        <f>IFERROR(__xludf.DUMMYFUNCTION("""COMPUTED_VALUE"""),"CO_A02_T010")</f>
        <v>CO_A02_T010</v>
      </c>
      <c r="B40" s="11" t="str">
        <f>IFERROR(__xludf.DUMMYFUNCTION("""COMPUTED_VALUE"""),"Calibrate Temp sensors and put on car for endurance testing")</f>
        <v>Calibrate Temp sensors and put on car for endurance testing</v>
      </c>
      <c r="C40" s="11" t="str">
        <f>IFERROR(__xludf.DUMMYFUNCTION("""COMPUTED_VALUE"""),"Cooling")</f>
        <v>Cooling</v>
      </c>
      <c r="D40" s="20">
        <f>IFERROR(__xludf.DUMMYFUNCTION("""COMPUTED_VALUE"""),46269.0)</f>
        <v>46269</v>
      </c>
      <c r="E40" s="20">
        <f>IFERROR(__xludf.DUMMYFUNCTION("""COMPUTED_VALUE"""),46269.0)</f>
        <v>46269</v>
      </c>
      <c r="F40" s="11" t="str">
        <f>IFERROR(__xludf.DUMMYFUNCTION("""COMPUTED_VALUE"""),"Not Started")</f>
        <v>Not Started</v>
      </c>
      <c r="G40" s="11"/>
      <c r="H40" s="11"/>
      <c r="I40" s="11" t="str">
        <f>IFERROR(__xludf.DUMMYFUNCTION("""COMPUTED_VALUE"""),"High")</f>
        <v>High</v>
      </c>
      <c r="J40" s="11"/>
      <c r="K40" s="11"/>
      <c r="L40" s="11"/>
      <c r="M40" s="11" t="str">
        <f>IFERROR(__xludf.DUMMYFUNCTION("""COMPUTED_VALUE"""),"A02 - Liquid Loop")</f>
        <v>A02 - Liquid Loop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 t="str">
        <f>IFERROR(__xludf.DUMMYFUNCTION("""COMPUTED_VALUE"""),"CO_A03_T001")</f>
        <v>CO_A03_T001</v>
      </c>
      <c r="B41" s="11" t="str">
        <f>IFERROR(__xludf.DUMMYFUNCTION("""COMPUTED_VALUE"""),"Run motor sleeve heat rejection + flow test")</f>
        <v>Run motor sleeve heat rejection + flow test</v>
      </c>
      <c r="C41" s="11" t="str">
        <f>IFERROR(__xludf.DUMMYFUNCTION("""COMPUTED_VALUE"""),"Cooling")</f>
        <v>Cooling</v>
      </c>
      <c r="D41" s="20"/>
      <c r="E41" s="20"/>
      <c r="F41" s="11"/>
      <c r="G41" s="11"/>
      <c r="H41" s="11" t="str">
        <f>IFERROR(__xludf.DUMMYFUNCTION("""COMPUTED_VALUE"""),"Usanbolor Amartuvshin")</f>
        <v>Usanbolor Amartuvshin</v>
      </c>
      <c r="I41" s="11" t="str">
        <f>IFERROR(__xludf.DUMMYFUNCTION("""COMPUTED_VALUE"""),"Medium")</f>
        <v>Medium</v>
      </c>
      <c r="J41" s="11"/>
      <c r="K41" s="11"/>
      <c r="L41" s="11"/>
      <c r="M41" s="11" t="str">
        <f>IFERROR(__xludf.DUMMYFUNCTION("""COMPUTED_VALUE"""),"A03 - Cooling Sleeve")</f>
        <v>A03 - Cooling Sleeve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 t="str">
        <f>IFERROR(__xludf.DUMMYFUNCTION("""COMPUTED_VALUE"""),"CO_A03_T002")</f>
        <v>CO_A03_T002</v>
      </c>
      <c r="B42" s="11" t="str">
        <f>IFERROR(__xludf.DUMMYFUNCTION("""COMPUTED_VALUE"""),"Cooling Sleeve ANSYS Model")</f>
        <v>Cooling Sleeve ANSYS Model</v>
      </c>
      <c r="C42" s="11" t="str">
        <f>IFERROR(__xludf.DUMMYFUNCTION("""COMPUTED_VALUE"""),"Cooling")</f>
        <v>Cooling</v>
      </c>
      <c r="D42" s="20"/>
      <c r="E42" s="20"/>
      <c r="F42" s="11"/>
      <c r="G42" s="11"/>
      <c r="H42" s="11" t="str">
        <f>IFERROR(__xludf.DUMMYFUNCTION("""COMPUTED_VALUE"""),"Usanbolor Amartuvshin")</f>
        <v>Usanbolor Amartuvshin</v>
      </c>
      <c r="I42" s="11" t="str">
        <f>IFERROR(__xludf.DUMMYFUNCTION("""COMPUTED_VALUE"""),"High")</f>
        <v>High</v>
      </c>
      <c r="J42" s="11"/>
      <c r="K42" s="11" t="str">
        <f>IFERROR(__xludf.DUMMYFUNCTION("""COMPUTED_VALUE"""),"Acc architecture finalized prerec")</f>
        <v>Acc architecture finalized prerec</v>
      </c>
      <c r="L42" s="11"/>
      <c r="M42" s="11" t="str">
        <f>IFERROR(__xludf.DUMMYFUNCTION("""COMPUTED_VALUE"""),"A03 - Cooling Sleeve")</f>
        <v>A03 - Cooling Sleeve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 t="str">
        <f>IFERROR(__xludf.DUMMYFUNCTION("""COMPUTED_VALUE"""),"CO_A03_T003")</f>
        <v>CO_A03_T003</v>
      </c>
      <c r="B43" s="11" t="str">
        <f>IFERROR(__xludf.DUMMYFUNCTION("""COMPUTED_VALUE"""),"Determine Cooling Sleeve Sealing Strategy")</f>
        <v>Determine Cooling Sleeve Sealing Strategy</v>
      </c>
      <c r="C43" s="11" t="str">
        <f>IFERROR(__xludf.DUMMYFUNCTION("""COMPUTED_VALUE"""),"Cooling")</f>
        <v>Cooling</v>
      </c>
      <c r="D43" s="20">
        <f>IFERROR(__xludf.DUMMYFUNCTION("""COMPUTED_VALUE"""),46260.0)</f>
        <v>46260</v>
      </c>
      <c r="E43" s="20"/>
      <c r="F43" s="11" t="str">
        <f>IFERROR(__xludf.DUMMYFUNCTION("""COMPUTED_VALUE"""),"In Progress")</f>
        <v>In Progress</v>
      </c>
      <c r="G43" s="11"/>
      <c r="H43" s="11" t="str">
        <f>IFERROR(__xludf.DUMMYFUNCTION("""COMPUTED_VALUE"""),"Usanbolor Amartuvshin")</f>
        <v>Usanbolor Amartuvshin</v>
      </c>
      <c r="I43" s="11" t="str">
        <f>IFERROR(__xludf.DUMMYFUNCTION("""COMPUTED_VALUE"""),"High")</f>
        <v>High</v>
      </c>
      <c r="J43" s="11"/>
      <c r="K43" s="11"/>
      <c r="L43" s="11"/>
      <c r="M43" s="11" t="str">
        <f>IFERROR(__xludf.DUMMYFUNCTION("""COMPUTED_VALUE"""),"A03 - Cooling Sleeve")</f>
        <v>A03 - Cooling Sleeve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 t="str">
        <f>IFERROR(__xludf.DUMMYFUNCTION("""COMPUTED_VALUE"""),"CO_A04_T001")</f>
        <v>CO_A04_T001</v>
      </c>
      <c r="B44" s="11" t="str">
        <f>IFERROR(__xludf.DUMMYFUNCTION("""COMPUTED_VALUE"""),"Acc Cooling ANSYS Model")</f>
        <v>Acc Cooling ANSYS Model</v>
      </c>
      <c r="C44" s="11" t="str">
        <f>IFERROR(__xludf.DUMMYFUNCTION("""COMPUTED_VALUE"""),"Cooling")</f>
        <v>Cooling</v>
      </c>
      <c r="D44" s="20"/>
      <c r="E44" s="20"/>
      <c r="F44" s="11"/>
      <c r="G44" s="11"/>
      <c r="H44" s="11" t="str">
        <f>IFERROR(__xludf.DUMMYFUNCTION("""COMPUTED_VALUE"""),"Theresa Franklin")</f>
        <v>Theresa Franklin</v>
      </c>
      <c r="I44" s="11" t="str">
        <f>IFERROR(__xludf.DUMMYFUNCTION("""COMPUTED_VALUE"""),"High")</f>
        <v>High</v>
      </c>
      <c r="J44" s="11"/>
      <c r="K44" s="11"/>
      <c r="L44" s="11"/>
      <c r="M44" s="11" t="str">
        <f>IFERROR(__xludf.DUMMYFUNCTION("""COMPUTED_VALUE"""),"A04 - Accumulator Cooling")</f>
        <v>A04 - Accumulator Cooling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 t="str">
        <f>IFERROR(__xludf.DUMMYFUNCTION("""COMPUTED_VALUE"""),"CO_A04_T002")</f>
        <v>CO_A04_T002</v>
      </c>
      <c r="B45" s="11" t="str">
        <f>IFERROR(__xludf.DUMMYFUNCTION("""COMPUTED_VALUE"""),"Base Simulation for Acc Cooling + Feasible Configurations")</f>
        <v>Base Simulation for Acc Cooling + Feasible Configurations</v>
      </c>
      <c r="C45" s="11" t="str">
        <f>IFERROR(__xludf.DUMMYFUNCTION("""COMPUTED_VALUE"""),"Cooling")</f>
        <v>Cooling</v>
      </c>
      <c r="D45" s="20">
        <f>IFERROR(__xludf.DUMMYFUNCTION("""COMPUTED_VALUE"""),46260.0)</f>
        <v>46260</v>
      </c>
      <c r="E45" s="20">
        <f>IFERROR(__xludf.DUMMYFUNCTION("""COMPUTED_VALUE"""),46264.0)</f>
        <v>46264</v>
      </c>
      <c r="F45" s="11" t="str">
        <f>IFERROR(__xludf.DUMMYFUNCTION("""COMPUTED_VALUE"""),"In Progress")</f>
        <v>In Progress</v>
      </c>
      <c r="G45" s="11"/>
      <c r="H45" s="11" t="str">
        <f>IFERROR(__xludf.DUMMYFUNCTION("""COMPUTED_VALUE"""),"Theresa Franklin")</f>
        <v>Theresa Franklin</v>
      </c>
      <c r="I45" s="11" t="str">
        <f>IFERROR(__xludf.DUMMYFUNCTION("""COMPUTED_VALUE"""),"High")</f>
        <v>High</v>
      </c>
      <c r="J45" s="11"/>
      <c r="K45" s="11"/>
      <c r="L45" s="11"/>
      <c r="M45" s="11" t="str">
        <f>IFERROR(__xludf.DUMMYFUNCTION("""COMPUTED_VALUE"""),"A04 - Accumulator Cooling")</f>
        <v>A04 - Accumulator Cooling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 t="str">
        <f>IFERROR(__xludf.DUMMYFUNCTION("""COMPUTED_VALUE"""),"CO_A04_T003")</f>
        <v>CO_A04_T003</v>
      </c>
      <c r="B46" s="11" t="str">
        <f>IFERROR(__xludf.DUMMYFUNCTION("""COMPUTED_VALUE"""),"Preliminary Acc Cooling Testing")</f>
        <v>Preliminary Acc Cooling Testing</v>
      </c>
      <c r="C46" s="11" t="str">
        <f>IFERROR(__xludf.DUMMYFUNCTION("""COMPUTED_VALUE"""),"Cooling")</f>
        <v>Cooling</v>
      </c>
      <c r="D46" s="20">
        <f>IFERROR(__xludf.DUMMYFUNCTION("""COMPUTED_VALUE"""),46264.0)</f>
        <v>46264</v>
      </c>
      <c r="E46" s="20">
        <f>IFERROR(__xludf.DUMMYFUNCTION("""COMPUTED_VALUE"""),46275.0)</f>
        <v>46275</v>
      </c>
      <c r="F46" s="11" t="str">
        <f>IFERROR(__xludf.DUMMYFUNCTION("""COMPUTED_VALUE"""),"In Progress")</f>
        <v>In Progress</v>
      </c>
      <c r="G46" s="11"/>
      <c r="H46" s="11" t="str">
        <f>IFERROR(__xludf.DUMMYFUNCTION("""COMPUTED_VALUE"""),"Theresa Franklin")</f>
        <v>Theresa Franklin</v>
      </c>
      <c r="I46" s="11" t="str">
        <f>IFERROR(__xludf.DUMMYFUNCTION("""COMPUTED_VALUE"""),"High")</f>
        <v>High</v>
      </c>
      <c r="J46" s="11"/>
      <c r="K46" s="11"/>
      <c r="L46" s="11"/>
      <c r="M46" s="11" t="str">
        <f>IFERROR(__xludf.DUMMYFUNCTION("""COMPUTED_VALUE"""),"A04 - Accumulator Cooling")</f>
        <v>A04 - Accumulator Cooling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 t="str">
        <f>IFERROR(__xludf.DUMMYFUNCTION("""COMPUTED_VALUE"""),"FW_A01_T001")</f>
        <v>FW_A01_T001</v>
      </c>
      <c r="B47" s="11" t="str">
        <f>IFERROR(__xludf.DUMMYFUNCTION("""COMPUTED_VALUE"""),"ARG27 VD flashed on car")</f>
        <v>ARG27 VD flashed on car</v>
      </c>
      <c r="C47" s="11" t="str">
        <f>IFERROR(__xludf.DUMMYFUNCTION("""COMPUTED_VALUE"""),"Firmware")</f>
        <v>Firmware</v>
      </c>
      <c r="D47" s="20"/>
      <c r="E47" s="20"/>
      <c r="F47" s="11"/>
      <c r="G47" s="11"/>
      <c r="H47" s="11" t="str">
        <f>IFERROR(__xludf.DUMMYFUNCTION("""COMPUTED_VALUE"""),"Amrita Talwar")</f>
        <v>Amrita Talwar</v>
      </c>
      <c r="I47" s="11"/>
      <c r="J47" s="11"/>
      <c r="K47" s="11"/>
      <c r="L47" s="11"/>
      <c r="M47" s="11" t="str">
        <f>IFERROR(__xludf.DUMMYFUNCTION("""COMPUTED_VALUE"""),"A01 - Firmware")</f>
        <v>A01 - Firmware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 t="str">
        <f>IFERROR(__xludf.DUMMYFUNCTION("""COMPUTED_VALUE"""),"FW_A02_T001")</f>
        <v>FW_A02_T001</v>
      </c>
      <c r="B48" s="11" t="str">
        <f>IFERROR(__xludf.DUMMYFUNCTION("""COMPUTED_VALUE"""),"SOC drawn out implementation")</f>
        <v>SOC drawn out implementation</v>
      </c>
      <c r="C48" s="11" t="str">
        <f>IFERROR(__xludf.DUMMYFUNCTION("""COMPUTED_VALUE"""),"Firmware")</f>
        <v>Firmware</v>
      </c>
      <c r="D48" s="20"/>
      <c r="E48" s="20">
        <f>IFERROR(__xludf.DUMMYFUNCTION("""COMPUTED_VALUE"""),46293.0)</f>
        <v>46293</v>
      </c>
      <c r="F48" s="11" t="str">
        <f>IFERROR(__xludf.DUMMYFUNCTION("""COMPUTED_VALUE"""),"In Progress")</f>
        <v>In Progress</v>
      </c>
      <c r="G48" s="11"/>
      <c r="H48" s="11" t="str">
        <f>IFERROR(__xludf.DUMMYFUNCTION("""COMPUTED_VALUE"""),"Nathaniel Su")</f>
        <v>Nathaniel Su</v>
      </c>
      <c r="I48" s="11" t="str">
        <f>IFERROR(__xludf.DUMMYFUNCTION("""COMPUTED_VALUE"""),"Medium")</f>
        <v>Medium</v>
      </c>
      <c r="J48" s="11"/>
      <c r="K48" s="11"/>
      <c r="L48" s="11"/>
      <c r="M48" s="11" t="str">
        <f>IFERROR(__xludf.DUMMYFUNCTION("""COMPUTED_VALUE"""),"A02 - BMS Code")</f>
        <v>A02 - BMS Code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 t="str">
        <f>IFERROR(__xludf.DUMMYFUNCTION("""COMPUTED_VALUE"""),"FW_A02_T002")</f>
        <v>FW_A02_T002</v>
      </c>
      <c r="B49" s="11" t="str">
        <f>IFERROR(__xludf.DUMMYFUNCTION("""COMPUTED_VALUE"""),"ACU bring up testing branch formed")</f>
        <v>ACU bring up testing branch formed</v>
      </c>
      <c r="C49" s="11" t="str">
        <f>IFERROR(__xludf.DUMMYFUNCTION("""COMPUTED_VALUE"""),"Firmware")</f>
        <v>Firmware</v>
      </c>
      <c r="D49" s="20"/>
      <c r="E49" s="20">
        <f>IFERROR(__xludf.DUMMYFUNCTION("""COMPUTED_VALUE"""),46293.0)</f>
        <v>46293</v>
      </c>
      <c r="F49" s="11" t="str">
        <f>IFERROR(__xludf.DUMMYFUNCTION("""COMPUTED_VALUE"""),"Not Started")</f>
        <v>Not Started</v>
      </c>
      <c r="G49" s="11"/>
      <c r="H49" s="11" t="str">
        <f>IFERROR(__xludf.DUMMYFUNCTION("""COMPUTED_VALUE"""),"Nathaniel Su")</f>
        <v>Nathaniel Su</v>
      </c>
      <c r="I49" s="11" t="str">
        <f>IFERROR(__xludf.DUMMYFUNCTION("""COMPUTED_VALUE"""),"High")</f>
        <v>High</v>
      </c>
      <c r="J49" s="11"/>
      <c r="K49" s="11"/>
      <c r="L49" s="11"/>
      <c r="M49" s="11" t="str">
        <f>IFERROR(__xludf.DUMMYFUNCTION("""COMPUTED_VALUE"""),"A02 - BMS Code")</f>
        <v>A02 - BMS Code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 t="str">
        <f>IFERROR(__xludf.DUMMYFUNCTION("""COMPUTED_VALUE"""),"FW_A02_T003")</f>
        <v>FW_A02_T003</v>
      </c>
      <c r="B50" s="11" t="str">
        <f>IFERROR(__xludf.DUMMYFUNCTION("""COMPUTED_VALUE"""),"SOC working on arg26")</f>
        <v>SOC working on arg26</v>
      </c>
      <c r="C50" s="11" t="str">
        <f>IFERROR(__xludf.DUMMYFUNCTION("""COMPUTED_VALUE"""),"Firmware")</f>
        <v>Firmware</v>
      </c>
      <c r="D50" s="20"/>
      <c r="E50" s="20">
        <f>IFERROR(__xludf.DUMMYFUNCTION("""COMPUTED_VALUE"""),46320.0)</f>
        <v>46320</v>
      </c>
      <c r="F50" s="11" t="str">
        <f>IFERROR(__xludf.DUMMYFUNCTION("""COMPUTED_VALUE"""),"Not Started")</f>
        <v>Not Started</v>
      </c>
      <c r="G50" s="11"/>
      <c r="H50" s="11" t="str">
        <f>IFERROR(__xludf.DUMMYFUNCTION("""COMPUTED_VALUE"""),"Nathaniel Su")</f>
        <v>Nathaniel Su</v>
      </c>
      <c r="I50" s="11" t="str">
        <f>IFERROR(__xludf.DUMMYFUNCTION("""COMPUTED_VALUE"""),"High")</f>
        <v>High</v>
      </c>
      <c r="J50" s="11"/>
      <c r="K50" s="11"/>
      <c r="L50" s="11"/>
      <c r="M50" s="11" t="str">
        <f>IFERROR(__xludf.DUMMYFUNCTION("""COMPUTED_VALUE"""),"A02 - BMS Code")</f>
        <v>A02 - BMS Code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 t="str">
        <f>IFERROR(__xludf.DUMMYFUNCTION("""COMPUTED_VALUE"""),"FW_A02_T004")</f>
        <v>FW_A02_T004</v>
      </c>
      <c r="B51" s="11" t="str">
        <f>IFERROR(__xludf.DUMMYFUNCTION("""COMPUTED_VALUE"""),"LAMBMS what needs to change ready")</f>
        <v>LAMBMS what needs to change ready</v>
      </c>
      <c r="C51" s="11" t="str">
        <f>IFERROR(__xludf.DUMMYFUNCTION("""COMPUTED_VALUE"""),"Firmware")</f>
        <v>Firmware</v>
      </c>
      <c r="D51" s="20"/>
      <c r="E51" s="20">
        <f>IFERROR(__xludf.DUMMYFUNCTION("""COMPUTED_VALUE"""),46320.0)</f>
        <v>46320</v>
      </c>
      <c r="F51" s="11" t="str">
        <f>IFERROR(__xludf.DUMMYFUNCTION("""COMPUTED_VALUE"""),"Not Started")</f>
        <v>Not Started</v>
      </c>
      <c r="G51" s="11"/>
      <c r="H51" s="11" t="str">
        <f>IFERROR(__xludf.DUMMYFUNCTION("""COMPUTED_VALUE"""),"Nathaniel Su")</f>
        <v>Nathaniel Su</v>
      </c>
      <c r="I51" s="11" t="str">
        <f>IFERROR(__xludf.DUMMYFUNCTION("""COMPUTED_VALUE"""),"Medium")</f>
        <v>Medium</v>
      </c>
      <c r="J51" s="11"/>
      <c r="K51" s="11"/>
      <c r="L51" s="11"/>
      <c r="M51" s="11" t="str">
        <f>IFERROR(__xludf.DUMMYFUNCTION("""COMPUTED_VALUE"""),"A02 - BMS Code")</f>
        <v>A02 - BMS Code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 t="str">
        <f>IFERROR(__xludf.DUMMYFUNCTION("""COMPUTED_VALUE"""),"FW_A02_T005")</f>
        <v>FW_A02_T005</v>
      </c>
      <c r="B52" s="11" t="str">
        <f>IFERROR(__xludf.DUMMYFUNCTION("""COMPUTED_VALUE"""),"Serial monitor clean up")</f>
        <v>Serial monitor clean up</v>
      </c>
      <c r="C52" s="11" t="str">
        <f>IFERROR(__xludf.DUMMYFUNCTION("""COMPUTED_VALUE"""),"Firmware")</f>
        <v>Firmware</v>
      </c>
      <c r="D52" s="20"/>
      <c r="E52" s="20">
        <f>IFERROR(__xludf.DUMMYFUNCTION("""COMPUTED_VALUE"""),46320.0)</f>
        <v>46320</v>
      </c>
      <c r="F52" s="11" t="str">
        <f>IFERROR(__xludf.DUMMYFUNCTION("""COMPUTED_VALUE"""),"Not Started")</f>
        <v>Not Started</v>
      </c>
      <c r="G52" s="11"/>
      <c r="H52" s="11" t="str">
        <f>IFERROR(__xludf.DUMMYFUNCTION("""COMPUTED_VALUE"""),"Nathaniel Su")</f>
        <v>Nathaniel Su</v>
      </c>
      <c r="I52" s="11" t="str">
        <f>IFERROR(__xludf.DUMMYFUNCTION("""COMPUTED_VALUE"""),"Medium")</f>
        <v>Medium</v>
      </c>
      <c r="J52" s="11"/>
      <c r="K52" s="11"/>
      <c r="L52" s="11"/>
      <c r="M52" s="11" t="str">
        <f>IFERROR(__xludf.DUMMYFUNCTION("""COMPUTED_VALUE"""),"A02 - BMS Code")</f>
        <v>A02 - BMS Code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 t="str">
        <f>IFERROR(__xludf.DUMMYFUNCTION("""COMPUTED_VALUE"""),"FW_A02_T006")</f>
        <v>FW_A02_T006</v>
      </c>
      <c r="B53" s="11" t="str">
        <f>IFERROR(__xludf.DUMMYFUNCTION("""COMPUTED_VALUE"""),"SOC on arg27")</f>
        <v>SOC on arg27</v>
      </c>
      <c r="C53" s="11" t="str">
        <f>IFERROR(__xludf.DUMMYFUNCTION("""COMPUTED_VALUE"""),"Firmware")</f>
        <v>Firmware</v>
      </c>
      <c r="D53" s="20"/>
      <c r="E53" s="20">
        <f>IFERROR(__xludf.DUMMYFUNCTION("""COMPUTED_VALUE"""),46351.0)</f>
        <v>46351</v>
      </c>
      <c r="F53" s="11" t="str">
        <f>IFERROR(__xludf.DUMMYFUNCTION("""COMPUTED_VALUE"""),"Not Started")</f>
        <v>Not Started</v>
      </c>
      <c r="G53" s="11"/>
      <c r="H53" s="11" t="str">
        <f>IFERROR(__xludf.DUMMYFUNCTION("""COMPUTED_VALUE"""),"Nathaniel Su")</f>
        <v>Nathaniel Su</v>
      </c>
      <c r="I53" s="11" t="str">
        <f>IFERROR(__xludf.DUMMYFUNCTION("""COMPUTED_VALUE"""),"High")</f>
        <v>High</v>
      </c>
      <c r="J53" s="11"/>
      <c r="K53" s="11"/>
      <c r="L53" s="11"/>
      <c r="M53" s="11" t="str">
        <f>IFERROR(__xludf.DUMMYFUNCTION("""COMPUTED_VALUE"""),"A02 - BMS Code")</f>
        <v>A02 - BMS Code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 t="str">
        <f>IFERROR(__xludf.DUMMYFUNCTION("""COMPUTED_VALUE"""),"FW_A03_T001")</f>
        <v>FW_A03_T001</v>
      </c>
      <c r="B54" s="11" t="str">
        <f>IFERROR(__xludf.DUMMYFUNCTION("""COMPUTED_VALUE"""),"RTOS implemented on ARG26")</f>
        <v>RTOS implemented on ARG26</v>
      </c>
      <c r="C54" s="11" t="str">
        <f>IFERROR(__xludf.DUMMYFUNCTION("""COMPUTED_VALUE"""),"Firmware")</f>
        <v>Firmware</v>
      </c>
      <c r="D54" s="20"/>
      <c r="E54" s="20">
        <f>IFERROR(__xludf.DUMMYFUNCTION("""COMPUTED_VALUE"""),46320.0)</f>
        <v>46320</v>
      </c>
      <c r="F54" s="11" t="str">
        <f>IFERROR(__xludf.DUMMYFUNCTION("""COMPUTED_VALUE"""),"Not Started")</f>
        <v>Not Started</v>
      </c>
      <c r="G54" s="11"/>
      <c r="H54" s="11" t="str">
        <f>IFERROR(__xludf.DUMMYFUNCTION("""COMPUTED_VALUE"""),"Amrita Talwar")</f>
        <v>Amrita Talwar</v>
      </c>
      <c r="I54" s="11" t="str">
        <f>IFERROR(__xludf.DUMMYFUNCTION("""COMPUTED_VALUE"""),"Medium")</f>
        <v>Medium</v>
      </c>
      <c r="J54" s="11"/>
      <c r="K54" s="11"/>
      <c r="L54" s="11"/>
      <c r="M54" s="11" t="str">
        <f>IFERROR(__xludf.DUMMYFUNCTION("""COMPUTED_VALUE"""),"A03 - ECU Code")</f>
        <v>A03 - ECU Code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 t="str">
        <f>IFERROR(__xludf.DUMMYFUNCTION("""COMPUTED_VALUE"""),"FW_A03_T002")</f>
        <v>FW_A03_T002</v>
      </c>
      <c r="B55" s="11" t="str">
        <f>IFERROR(__xludf.DUMMYFUNCTION("""COMPUTED_VALUE"""),"RTOS MVP")</f>
        <v>RTOS MVP</v>
      </c>
      <c r="C55" s="11" t="str">
        <f>IFERROR(__xludf.DUMMYFUNCTION("""COMPUTED_VALUE"""),"Firmware")</f>
        <v>Firmware</v>
      </c>
      <c r="D55" s="20"/>
      <c r="E55" s="20">
        <f>IFERROR(__xludf.DUMMYFUNCTION("""COMPUTED_VALUE"""),46293.0)</f>
        <v>46293</v>
      </c>
      <c r="F55" s="11" t="str">
        <f>IFERROR(__xludf.DUMMYFUNCTION("""COMPUTED_VALUE"""),"Not Started")</f>
        <v>Not Started</v>
      </c>
      <c r="G55" s="11"/>
      <c r="H55" s="11" t="str">
        <f>IFERROR(__xludf.DUMMYFUNCTION("""COMPUTED_VALUE"""),"Shadman Syed")</f>
        <v>Shadman Syed</v>
      </c>
      <c r="I55" s="11"/>
      <c r="J55" s="11"/>
      <c r="K55" s="11"/>
      <c r="L55" s="11"/>
      <c r="M55" s="11" t="str">
        <f>IFERROR(__xludf.DUMMYFUNCTION("""COMPUTED_VALUE"""),"A03 - ECU Code")</f>
        <v>A03 - ECU Code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 t="str">
        <f>IFERROR(__xludf.DUMMYFUNCTION("""COMPUTED_VALUE"""),"FW_A03_T003")</f>
        <v>FW_A03_T003</v>
      </c>
      <c r="B56" s="11" t="str">
        <f>IFERROR(__xludf.DUMMYFUNCTION("""COMPUTED_VALUE"""),"RTOS testing done")</f>
        <v>RTOS testing done</v>
      </c>
      <c r="C56" s="11" t="str">
        <f>IFERROR(__xludf.DUMMYFUNCTION("""COMPUTED_VALUE"""),"Firmware")</f>
        <v>Firmware</v>
      </c>
      <c r="D56" s="20"/>
      <c r="E56" s="20">
        <f>IFERROR(__xludf.DUMMYFUNCTION("""COMPUTED_VALUE"""),46299.0)</f>
        <v>46299</v>
      </c>
      <c r="F56" s="11" t="str">
        <f>IFERROR(__xludf.DUMMYFUNCTION("""COMPUTED_VALUE"""),"Not Started")</f>
        <v>Not Started</v>
      </c>
      <c r="G56" s="11"/>
      <c r="H56" s="11" t="str">
        <f>IFERROR(__xludf.DUMMYFUNCTION("""COMPUTED_VALUE"""),"Shadman Syed")</f>
        <v>Shadman Syed</v>
      </c>
      <c r="I56" s="11"/>
      <c r="J56" s="11"/>
      <c r="K56" s="11"/>
      <c r="L56" s="11"/>
      <c r="M56" s="11" t="str">
        <f>IFERROR(__xludf.DUMMYFUNCTION("""COMPUTED_VALUE"""),"A03 - ECU Code")</f>
        <v>A03 - ECU Code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 t="str">
        <f>IFERROR(__xludf.DUMMYFUNCTION("""COMPUTED_VALUE"""),"FW_A04_T001")</f>
        <v>FW_A04_T001</v>
      </c>
      <c r="B57" s="11" t="str">
        <f>IFERROR(__xludf.DUMMYFUNCTION("""COMPUTED_VALUE"""),"Lanch control simple model")</f>
        <v>Lanch control simple model</v>
      </c>
      <c r="C57" s="11" t="str">
        <f>IFERROR(__xludf.DUMMYFUNCTION("""COMPUTED_VALUE"""),"Firmware")</f>
        <v>Firmware</v>
      </c>
      <c r="D57" s="20"/>
      <c r="E57" s="20">
        <f>IFERROR(__xludf.DUMMYFUNCTION("""COMPUTED_VALUE"""),46293.0)</f>
        <v>46293</v>
      </c>
      <c r="F57" s="11" t="str">
        <f>IFERROR(__xludf.DUMMYFUNCTION("""COMPUTED_VALUE"""),"Not Started")</f>
        <v>Not Started</v>
      </c>
      <c r="G57" s="11"/>
      <c r="H57" s="11" t="str">
        <f>IFERROR(__xludf.DUMMYFUNCTION("""COMPUTED_VALUE"""),"Xinyuan (Yolanda) Zhou")</f>
        <v>Xinyuan (Yolanda) Zhou</v>
      </c>
      <c r="I57" s="11" t="str">
        <f>IFERROR(__xludf.DUMMYFUNCTION("""COMPUTED_VALUE"""),"Critical")</f>
        <v>Critical</v>
      </c>
      <c r="J57" s="11"/>
      <c r="K57" s="11"/>
      <c r="L57" s="11"/>
      <c r="M57" s="11" t="str">
        <f>IFERROR(__xludf.DUMMYFUNCTION("""COMPUTED_VALUE"""),"A04 - Active VD Controls")</f>
        <v>A04 - Active VD Controls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 t="str">
        <f>IFERROR(__xludf.DUMMYFUNCTION("""COMPUTED_VALUE"""),"FW_A04_T002")</f>
        <v>FW_A04_T002</v>
      </c>
      <c r="B58" s="11" t="str">
        <f>IFERROR(__xludf.DUMMYFUNCTION("""COMPUTED_VALUE"""),"Power limiting simple model")</f>
        <v>Power limiting simple model</v>
      </c>
      <c r="C58" s="11" t="str">
        <f>IFERROR(__xludf.DUMMYFUNCTION("""COMPUTED_VALUE"""),"Firmware")</f>
        <v>Firmware</v>
      </c>
      <c r="D58" s="20"/>
      <c r="E58" s="20">
        <f>IFERROR(__xludf.DUMMYFUNCTION("""COMPUTED_VALUE"""),46293.0)</f>
        <v>46293</v>
      </c>
      <c r="F58" s="11" t="str">
        <f>IFERROR(__xludf.DUMMYFUNCTION("""COMPUTED_VALUE"""),"Not Started")</f>
        <v>Not Started</v>
      </c>
      <c r="G58" s="11"/>
      <c r="H58" s="11" t="str">
        <f>IFERROR(__xludf.DUMMYFUNCTION("""COMPUTED_VALUE"""),"Xinyuan (Yolanda) Zhou")</f>
        <v>Xinyuan (Yolanda) Zhou</v>
      </c>
      <c r="I58" s="11" t="str">
        <f>IFERROR(__xludf.DUMMYFUNCTION("""COMPUTED_VALUE"""),"Critical")</f>
        <v>Critical</v>
      </c>
      <c r="J58" s="11"/>
      <c r="K58" s="11"/>
      <c r="L58" s="11"/>
      <c r="M58" s="11" t="str">
        <f>IFERROR(__xludf.DUMMYFUNCTION("""COMPUTED_VALUE"""),"A04 - Active VD Controls")</f>
        <v>A04 - Active VD Controls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 t="str">
        <f>IFERROR(__xludf.DUMMYFUNCTION("""COMPUTED_VALUE"""),"FW_A04_T003")</f>
        <v>FW_A04_T003</v>
      </c>
      <c r="B59" s="11" t="str">
        <f>IFERROR(__xludf.DUMMYFUNCTION("""COMPUTED_VALUE"""),"Regen simple model")</f>
        <v>Regen simple model</v>
      </c>
      <c r="C59" s="11" t="str">
        <f>IFERROR(__xludf.DUMMYFUNCTION("""COMPUTED_VALUE"""),"Firmware")</f>
        <v>Firmware</v>
      </c>
      <c r="D59" s="20"/>
      <c r="E59" s="20">
        <f>IFERROR(__xludf.DUMMYFUNCTION("""COMPUTED_VALUE"""),46293.0)</f>
        <v>46293</v>
      </c>
      <c r="F59" s="11" t="str">
        <f>IFERROR(__xludf.DUMMYFUNCTION("""COMPUTED_VALUE"""),"Not Started")</f>
        <v>Not Started</v>
      </c>
      <c r="G59" s="11"/>
      <c r="H59" s="11" t="str">
        <f>IFERROR(__xludf.DUMMYFUNCTION("""COMPUTED_VALUE"""),"Xinyuan (Yolanda) Zhou")</f>
        <v>Xinyuan (Yolanda) Zhou</v>
      </c>
      <c r="I59" s="11" t="str">
        <f>IFERROR(__xludf.DUMMYFUNCTION("""COMPUTED_VALUE"""),"Critical")</f>
        <v>Critical</v>
      </c>
      <c r="J59" s="11"/>
      <c r="K59" s="11"/>
      <c r="L59" s="11"/>
      <c r="M59" s="11" t="str">
        <f>IFERROR(__xludf.DUMMYFUNCTION("""COMPUTED_VALUE"""),"A04 - Active VD Controls")</f>
        <v>A04 - Active VD Controls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 t="str">
        <f>IFERROR(__xludf.DUMMYFUNCTION("""COMPUTED_VALUE"""),"FW_A04_T004")</f>
        <v>FW_A04_T004</v>
      </c>
      <c r="B60" s="11" t="str">
        <f>IFERROR(__xludf.DUMMYFUNCTION("""COMPUTED_VALUE"""),"Torque Vectoring simple model")</f>
        <v>Torque Vectoring simple model</v>
      </c>
      <c r="C60" s="11" t="str">
        <f>IFERROR(__xludf.DUMMYFUNCTION("""COMPUTED_VALUE"""),"Firmware")</f>
        <v>Firmware</v>
      </c>
      <c r="D60" s="20"/>
      <c r="E60" s="20">
        <f>IFERROR(__xludf.DUMMYFUNCTION("""COMPUTED_VALUE"""),46320.0)</f>
        <v>46320</v>
      </c>
      <c r="F60" s="11" t="str">
        <f>IFERROR(__xludf.DUMMYFUNCTION("""COMPUTED_VALUE"""),"Not Started")</f>
        <v>Not Started</v>
      </c>
      <c r="G60" s="11"/>
      <c r="H60" s="11" t="str">
        <f>IFERROR(__xludf.DUMMYFUNCTION("""COMPUTED_VALUE"""),"Xinyuan (Yolanda) Zhou")</f>
        <v>Xinyuan (Yolanda) Zhou</v>
      </c>
      <c r="I60" s="11" t="str">
        <f>IFERROR(__xludf.DUMMYFUNCTION("""COMPUTED_VALUE"""),"Critical")</f>
        <v>Critical</v>
      </c>
      <c r="J60" s="11"/>
      <c r="K60" s="11"/>
      <c r="L60" s="11"/>
      <c r="M60" s="11" t="str">
        <f>IFERROR(__xludf.DUMMYFUNCTION("""COMPUTED_VALUE"""),"A04 - Active VD Controls")</f>
        <v>A04 - Active VD Controls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 t="str">
        <f>IFERROR(__xludf.DUMMYFUNCTION("""COMPUTED_VALUE"""),"FW_A04_T005")</f>
        <v>FW_A04_T005</v>
      </c>
      <c r="B61" s="11" t="str">
        <f>IFERROR(__xludf.DUMMYFUNCTION("""COMPUTED_VALUE"""),"Power limiting complex model")</f>
        <v>Power limiting complex model</v>
      </c>
      <c r="C61" s="11" t="str">
        <f>IFERROR(__xludf.DUMMYFUNCTION("""COMPUTED_VALUE"""),"Firmware")</f>
        <v>Firmware</v>
      </c>
      <c r="D61" s="20"/>
      <c r="E61" s="20">
        <f>IFERROR(__xludf.DUMMYFUNCTION("""COMPUTED_VALUE"""),46351.0)</f>
        <v>46351</v>
      </c>
      <c r="F61" s="11" t="str">
        <f>IFERROR(__xludf.DUMMYFUNCTION("""COMPUTED_VALUE"""),"Not Started")</f>
        <v>Not Started</v>
      </c>
      <c r="G61" s="11"/>
      <c r="H61" s="11" t="str">
        <f>IFERROR(__xludf.DUMMYFUNCTION("""COMPUTED_VALUE"""),"Xinyuan (Yolanda) Zhou")</f>
        <v>Xinyuan (Yolanda) Zhou</v>
      </c>
      <c r="I61" s="11" t="str">
        <f>IFERROR(__xludf.DUMMYFUNCTION("""COMPUTED_VALUE"""),"High")</f>
        <v>High</v>
      </c>
      <c r="J61" s="11"/>
      <c r="K61" s="11"/>
      <c r="L61" s="11"/>
      <c r="M61" s="11" t="str">
        <f>IFERROR(__xludf.DUMMYFUNCTION("""COMPUTED_VALUE"""),"A04 - Active VD Controls")</f>
        <v>A04 - Active VD Controls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 t="str">
        <f>IFERROR(__xludf.DUMMYFUNCTION("""COMPUTED_VALUE"""),"FW_A04_T006")</f>
        <v>FW_A04_T006</v>
      </c>
      <c r="B62" s="11" t="str">
        <f>IFERROR(__xludf.DUMMYFUNCTION("""COMPUTED_VALUE"""),"Regen Complex Model")</f>
        <v>Regen Complex Model</v>
      </c>
      <c r="C62" s="11" t="str">
        <f>IFERROR(__xludf.DUMMYFUNCTION("""COMPUTED_VALUE"""),"Firmware")</f>
        <v>Firmware</v>
      </c>
      <c r="D62" s="20"/>
      <c r="E62" s="20">
        <f>IFERROR(__xludf.DUMMYFUNCTION("""COMPUTED_VALUE"""),46351.0)</f>
        <v>46351</v>
      </c>
      <c r="F62" s="11" t="str">
        <f>IFERROR(__xludf.DUMMYFUNCTION("""COMPUTED_VALUE"""),"Not Started")</f>
        <v>Not Started</v>
      </c>
      <c r="G62" s="11"/>
      <c r="H62" s="11" t="str">
        <f>IFERROR(__xludf.DUMMYFUNCTION("""COMPUTED_VALUE"""),"Xinyuan (Yolanda) Zhou")</f>
        <v>Xinyuan (Yolanda) Zhou</v>
      </c>
      <c r="I62" s="11" t="str">
        <f>IFERROR(__xludf.DUMMYFUNCTION("""COMPUTED_VALUE"""),"High")</f>
        <v>High</v>
      </c>
      <c r="J62" s="11"/>
      <c r="K62" s="11"/>
      <c r="L62" s="11"/>
      <c r="M62" s="11" t="str">
        <f>IFERROR(__xludf.DUMMYFUNCTION("""COMPUTED_VALUE"""),"A04 - Active VD Controls")</f>
        <v>A04 - Active VD Controls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 t="str">
        <f>IFERROR(__xludf.DUMMYFUNCTION("""COMPUTED_VALUE"""),"FW_A04_T007")</f>
        <v>FW_A04_T007</v>
      </c>
      <c r="B63" s="11" t="str">
        <f>IFERROR(__xludf.DUMMYFUNCTION("""COMPUTED_VALUE"""),"Torque Vectoring Complex Model")</f>
        <v>Torque Vectoring Complex Model</v>
      </c>
      <c r="C63" s="11" t="str">
        <f>IFERROR(__xludf.DUMMYFUNCTION("""COMPUTED_VALUE"""),"Firmware")</f>
        <v>Firmware</v>
      </c>
      <c r="D63" s="20"/>
      <c r="E63" s="20">
        <f>IFERROR(__xludf.DUMMYFUNCTION("""COMPUTED_VALUE"""),46401.0)</f>
        <v>46401</v>
      </c>
      <c r="F63" s="11" t="str">
        <f>IFERROR(__xludf.DUMMYFUNCTION("""COMPUTED_VALUE"""),"Not Started")</f>
        <v>Not Started</v>
      </c>
      <c r="G63" s="11"/>
      <c r="H63" s="11" t="str">
        <f>IFERROR(__xludf.DUMMYFUNCTION("""COMPUTED_VALUE"""),"Xinyuan (Yolanda) Zhou")</f>
        <v>Xinyuan (Yolanda) Zhou</v>
      </c>
      <c r="I63" s="11" t="str">
        <f>IFERROR(__xludf.DUMMYFUNCTION("""COMPUTED_VALUE"""),"High")</f>
        <v>High</v>
      </c>
      <c r="J63" s="11"/>
      <c r="K63" s="11"/>
      <c r="L63" s="11" t="str">
        <f>IFERROR(__xludf.DUMMYFUNCTION("""COMPUTED_VALUE"""),"subject to change depending on JanMan")</f>
        <v>subject to change depending on JanMan</v>
      </c>
      <c r="M63" s="11" t="str">
        <f>IFERROR(__xludf.DUMMYFUNCTION("""COMPUTED_VALUE"""),"A04 - Active VD Controls")</f>
        <v>A04 - Active VD Controls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 t="str">
        <f>IFERROR(__xludf.DUMMYFUNCTION("""COMPUTED_VALUE"""),"FW_A04_T008")</f>
        <v>FW_A04_T008</v>
      </c>
      <c r="B64" s="11" t="str">
        <f>IFERROR(__xludf.DUMMYFUNCTION("""COMPUTED_VALUE"""),"Launch Control Complex Modeling")</f>
        <v>Launch Control Complex Modeling</v>
      </c>
      <c r="C64" s="11" t="str">
        <f>IFERROR(__xludf.DUMMYFUNCTION("""COMPUTED_VALUE"""),"Firmware")</f>
        <v>Firmware</v>
      </c>
      <c r="D64" s="20"/>
      <c r="E64" s="20">
        <f>IFERROR(__xludf.DUMMYFUNCTION("""COMPUTED_VALUE"""),46401.0)</f>
        <v>46401</v>
      </c>
      <c r="F64" s="11" t="str">
        <f>IFERROR(__xludf.DUMMYFUNCTION("""COMPUTED_VALUE"""),"Not Started")</f>
        <v>Not Started</v>
      </c>
      <c r="G64" s="11"/>
      <c r="H64" s="11" t="str">
        <f>IFERROR(__xludf.DUMMYFUNCTION("""COMPUTED_VALUE"""),"Xinyuan (Yolanda) Zhou")</f>
        <v>Xinyuan (Yolanda) Zhou</v>
      </c>
      <c r="I64" s="11" t="str">
        <f>IFERROR(__xludf.DUMMYFUNCTION("""COMPUTED_VALUE"""),"High")</f>
        <v>High</v>
      </c>
      <c r="J64" s="11"/>
      <c r="K64" s="11"/>
      <c r="L64" s="11" t="str">
        <f>IFERROR(__xludf.DUMMYFUNCTION("""COMPUTED_VALUE"""),"subject to change depending on JanMan")</f>
        <v>subject to change depending on JanMan</v>
      </c>
      <c r="M64" s="11" t="str">
        <f>IFERROR(__xludf.DUMMYFUNCTION("""COMPUTED_VALUE"""),"A04 - Active VD Controls")</f>
        <v>A04 - Active VD Controls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 t="str">
        <f>IFERROR(__xludf.DUMMYFUNCTION("""COMPUTED_VALUE"""),"FW_A04_T009")</f>
        <v>FW_A04_T009</v>
      </c>
      <c r="B65" s="11" t="str">
        <f>IFERROR(__xludf.DUMMYFUNCTION("""COMPUTED_VALUE"""),"VD DTI motor Comparision")</f>
        <v>VD DTI motor Comparision</v>
      </c>
      <c r="C65" s="11" t="str">
        <f>IFERROR(__xludf.DUMMYFUNCTION("""COMPUTED_VALUE"""),"Firmware")</f>
        <v>Firmware</v>
      </c>
      <c r="D65" s="20"/>
      <c r="E65" s="20">
        <f>IFERROR(__xludf.DUMMYFUNCTION("""COMPUTED_VALUE"""),46293.0)</f>
        <v>46293</v>
      </c>
      <c r="F65" s="11" t="str">
        <f>IFERROR(__xludf.DUMMYFUNCTION("""COMPUTED_VALUE"""),"Not Started")</f>
        <v>Not Started</v>
      </c>
      <c r="G65" s="11"/>
      <c r="H65" s="11" t="str">
        <f>IFERROR(__xludf.DUMMYFUNCTION("""COMPUTED_VALUE"""),"Xinyuan (Yolanda) Zhou")</f>
        <v>Xinyuan (Yolanda) Zhou</v>
      </c>
      <c r="I65" s="11" t="str">
        <f>IFERROR(__xludf.DUMMYFUNCTION("""COMPUTED_VALUE"""),"High")</f>
        <v>High</v>
      </c>
      <c r="J65" s="11"/>
      <c r="K65" s="11"/>
      <c r="L65" s="11"/>
      <c r="M65" s="11" t="str">
        <f>IFERROR(__xludf.DUMMYFUNCTION("""COMPUTED_VALUE"""),"A04 - Active VD Controls")</f>
        <v>A04 - Active VD Controls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 t="str">
        <f>IFERROR(__xludf.DUMMYFUNCTION("""COMPUTED_VALUE"""),"FW_A04_T010")</f>
        <v>FW_A04_T010</v>
      </c>
      <c r="B66" s="11" t="str">
        <f>IFERROR(__xludf.DUMMYFUNCTION("""COMPUTED_VALUE"""),"VD testing plan for all four compontents")</f>
        <v>VD testing plan for all four compontents</v>
      </c>
      <c r="C66" s="11" t="str">
        <f>IFERROR(__xludf.DUMMYFUNCTION("""COMPUTED_VALUE"""),"Firmware")</f>
        <v>Firmware</v>
      </c>
      <c r="D66" s="20"/>
      <c r="E66" s="20">
        <f>IFERROR(__xludf.DUMMYFUNCTION("""COMPUTED_VALUE"""),46293.0)</f>
        <v>46293</v>
      </c>
      <c r="F66" s="11"/>
      <c r="G66" s="11"/>
      <c r="H66" s="11"/>
      <c r="I66" s="11"/>
      <c r="J66" s="11"/>
      <c r="K66" s="11"/>
      <c r="L66" s="11"/>
      <c r="M66" s="11" t="str">
        <f>IFERROR(__xludf.DUMMYFUNCTION("""COMPUTED_VALUE"""),"A04 - Active VD Controls")</f>
        <v>A04 - Active VD Controls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 t="str">
        <f>IFERROR(__xludf.DUMMYFUNCTION("""COMPUTED_VALUE"""),"FW_A04_T013")</f>
        <v>FW_A04_T013</v>
      </c>
      <c r="B67" s="11" t="str">
        <f>IFERROR(__xludf.DUMMYFUNCTION("""COMPUTED_VALUE"""),"Simplified RTOS implementation for ECU")</f>
        <v>Simplified RTOS implementation for ECU</v>
      </c>
      <c r="C67" s="11"/>
      <c r="D67" s="20"/>
      <c r="E67" s="20">
        <f>IFERROR(__xludf.DUMMYFUNCTION("""COMPUTED_VALUE"""),46280.0)</f>
        <v>46280</v>
      </c>
      <c r="F67" s="11" t="str">
        <f>IFERROR(__xludf.DUMMYFUNCTION("""COMPUTED_VALUE"""),"In Progress")</f>
        <v>In Progress</v>
      </c>
      <c r="G67" s="11"/>
      <c r="H67" s="11" t="str">
        <f>IFERROR(__xludf.DUMMYFUNCTION("""COMPUTED_VALUE"""),"Shadman Syed")</f>
        <v>Shadman Syed</v>
      </c>
      <c r="I67" s="11" t="str">
        <f>IFERROR(__xludf.DUMMYFUNCTION("""COMPUTED_VALUE"""),"Critical")</f>
        <v>Critical</v>
      </c>
      <c r="J67" s="11"/>
      <c r="K67" s="11"/>
      <c r="L67" s="11"/>
      <c r="M67" s="11" t="str">
        <f>IFERROR(__xludf.DUMMYFUNCTION("""COMPUTED_VALUE"""),"A04 - Active VD Controls")</f>
        <v>A04 - Active VD Controls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 t="str">
        <f>IFERROR(__xludf.DUMMYFUNCTION("""COMPUTED_VALUE"""),"FW_A04_T014")</f>
        <v>FW_A04_T014</v>
      </c>
      <c r="B68" s="11" t="str">
        <f>IFERROR(__xludf.DUMMYFUNCTION("""COMPUTED_VALUE"""),"Full RTOS port of ECU")</f>
        <v>Full RTOS port of ECU</v>
      </c>
      <c r="C68" s="11"/>
      <c r="D68" s="20"/>
      <c r="E68" s="20">
        <f>IFERROR(__xludf.DUMMYFUNCTION("""COMPUTED_VALUE"""),46291.0)</f>
        <v>46291</v>
      </c>
      <c r="F68" s="11" t="str">
        <f>IFERROR(__xludf.DUMMYFUNCTION("""COMPUTED_VALUE"""),"Blocked")</f>
        <v>Blocked</v>
      </c>
      <c r="G68" s="11"/>
      <c r="H68" s="11" t="str">
        <f>IFERROR(__xludf.DUMMYFUNCTION("""COMPUTED_VALUE"""),"Shadman Syed")</f>
        <v>Shadman Syed</v>
      </c>
      <c r="I68" s="11" t="str">
        <f>IFERROR(__xludf.DUMMYFUNCTION("""COMPUTED_VALUE"""),"Critical")</f>
        <v>Critical</v>
      </c>
      <c r="J68" s="11" t="str">
        <f>IFERROR(__xludf.DUMMYFUNCTION("""COMPUTED_VALUE"""),"FW_A04_T013")</f>
        <v>FW_A04_T013</v>
      </c>
      <c r="K68" s="11"/>
      <c r="L68" s="11"/>
      <c r="M68" s="11" t="str">
        <f>IFERROR(__xludf.DUMMYFUNCTION("""COMPUTED_VALUE"""),"A04 - Active VD Controls")</f>
        <v>A04 - Active VD Controls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 t="str">
        <f>IFERROR(__xludf.DUMMYFUNCTION("""COMPUTED_VALUE"""),"FW_A04_T015")</f>
        <v>FW_A04_T015</v>
      </c>
      <c r="B69" s="11" t="str">
        <f>IFERROR(__xludf.DUMMYFUNCTION("""COMPUTED_VALUE"""),"Debug RTOS port for concurrency issues")</f>
        <v>Debug RTOS port for concurrency issues</v>
      </c>
      <c r="C69" s="11"/>
      <c r="D69" s="20"/>
      <c r="E69" s="20">
        <f>IFERROR(__xludf.DUMMYFUNCTION("""COMPUTED_VALUE"""),46298.0)</f>
        <v>46298</v>
      </c>
      <c r="F69" s="11" t="str">
        <f>IFERROR(__xludf.DUMMYFUNCTION("""COMPUTED_VALUE"""),"Not Started")</f>
        <v>Not Started</v>
      </c>
      <c r="G69" s="11"/>
      <c r="H69" s="11"/>
      <c r="I69" s="11" t="str">
        <f>IFERROR(__xludf.DUMMYFUNCTION("""COMPUTED_VALUE"""),"High")</f>
        <v>High</v>
      </c>
      <c r="J69" s="11"/>
      <c r="K69" s="11"/>
      <c r="L69" s="11"/>
      <c r="M69" s="11" t="str">
        <f>IFERROR(__xludf.DUMMYFUNCTION("""COMPUTED_VALUE"""),"A04 - Active VD Controls")</f>
        <v>A04 - Active VD Controls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 t="str">
        <f>IFERROR(__xludf.DUMMYFUNCTION("""COMPUTED_VALUE"""),"FW_A04_T016")</f>
        <v>FW_A04_T016</v>
      </c>
      <c r="B70" s="11" t="str">
        <f>IFERROR(__xludf.DUMMYFUNCTION("""COMPUTED_VALUE"""),"Implementing the VD simple models")</f>
        <v>Implementing the VD simple models</v>
      </c>
      <c r="C70" s="11" t="str">
        <f>IFERROR(__xludf.DUMMYFUNCTION("""COMPUTED_VALUE"""),"Firmware")</f>
        <v>Firmware</v>
      </c>
      <c r="D70" s="20">
        <f>IFERROR(__xludf.DUMMYFUNCTION("""COMPUTED_VALUE"""),46300.0)</f>
        <v>46300</v>
      </c>
      <c r="E70" s="20">
        <f>IFERROR(__xludf.DUMMYFUNCTION("""COMPUTED_VALUE"""),46326.0)</f>
        <v>46326</v>
      </c>
      <c r="F70" s="11" t="str">
        <f>IFERROR(__xludf.DUMMYFUNCTION("""COMPUTED_VALUE"""),"Not Started")</f>
        <v>Not Started</v>
      </c>
      <c r="G70" s="11"/>
      <c r="H70" s="11"/>
      <c r="I70" s="11" t="str">
        <f>IFERROR(__xludf.DUMMYFUNCTION("""COMPUTED_VALUE"""),"High")</f>
        <v>High</v>
      </c>
      <c r="J70" s="11" t="str">
        <f>IFERROR(__xludf.DUMMYFUNCTION("""COMPUTED_VALUE"""),"FW_A04_T004")</f>
        <v>FW_A04_T004</v>
      </c>
      <c r="K70" s="11"/>
      <c r="L70" s="11"/>
      <c r="M70" s="11" t="str">
        <f>IFERROR(__xludf.DUMMYFUNCTION("""COMPUTED_VALUE"""),"A04 - Active VD Controls")</f>
        <v>A04 - Active VD Controls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 t="str">
        <f>IFERROR(__xludf.DUMMYFUNCTION("""COMPUTED_VALUE"""),"FW_A05_T001")</f>
        <v>FW_A05_T001</v>
      </c>
      <c r="B71" s="11" t="str">
        <f>IFERROR(__xludf.DUMMYFUNCTION("""COMPUTED_VALUE"""),"Diagrams done, Changes to Dash finialized")</f>
        <v>Diagrams done, Changes to Dash finialized</v>
      </c>
      <c r="C71" s="11" t="str">
        <f>IFERROR(__xludf.DUMMYFUNCTION("""COMPUTED_VALUE"""),"Firmware")</f>
        <v>Firmware</v>
      </c>
      <c r="D71" s="20"/>
      <c r="E71" s="20">
        <f>IFERROR(__xludf.DUMMYFUNCTION("""COMPUTED_VALUE"""),46293.0)</f>
        <v>46293</v>
      </c>
      <c r="F71" s="11" t="str">
        <f>IFERROR(__xludf.DUMMYFUNCTION("""COMPUTED_VALUE"""),"Not Started")</f>
        <v>Not Started</v>
      </c>
      <c r="G71" s="11"/>
      <c r="H71" s="11" t="str">
        <f>IFERROR(__xludf.DUMMYFUNCTION("""COMPUTED_VALUE"""),"Yifan Li")</f>
        <v>Yifan Li</v>
      </c>
      <c r="I71" s="11"/>
      <c r="J71" s="11"/>
      <c r="K71" s="11"/>
      <c r="L71" s="11"/>
      <c r="M71" s="11" t="str">
        <f>IFERROR(__xludf.DUMMYFUNCTION("""COMPUTED_VALUE"""),"A05 - Dash Firmware")</f>
        <v>A05 - Dash Firmware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 t="str">
        <f>IFERROR(__xludf.DUMMYFUNCTION("""COMPUTED_VALUE"""),"FW_A05_T002")</f>
        <v>FW_A05_T002</v>
      </c>
      <c r="B72" s="11" t="str">
        <f>IFERROR(__xludf.DUMMYFUNCTION("""COMPUTED_VALUE"""),"Arg26 Dash fixed")</f>
        <v>Arg26 Dash fixed</v>
      </c>
      <c r="C72" s="11" t="str">
        <f>IFERROR(__xludf.DUMMYFUNCTION("""COMPUTED_VALUE"""),"Firmware")</f>
        <v>Firmware</v>
      </c>
      <c r="D72" s="20"/>
      <c r="E72" s="20">
        <f>IFERROR(__xludf.DUMMYFUNCTION("""COMPUTED_VALUE"""),46320.0)</f>
        <v>46320</v>
      </c>
      <c r="F72" s="11" t="str">
        <f>IFERROR(__xludf.DUMMYFUNCTION("""COMPUTED_VALUE"""),"Not Started")</f>
        <v>Not Started</v>
      </c>
      <c r="G72" s="11"/>
      <c r="H72" s="11" t="str">
        <f>IFERROR(__xludf.DUMMYFUNCTION("""COMPUTED_VALUE"""),"Yifan Li")</f>
        <v>Yifan Li</v>
      </c>
      <c r="I72" s="11"/>
      <c r="J72" s="11"/>
      <c r="K72" s="11"/>
      <c r="L72" s="11"/>
      <c r="M72" s="11" t="str">
        <f>IFERROR(__xludf.DUMMYFUNCTION("""COMPUTED_VALUE"""),"A05 - Dash Firmware")</f>
        <v>A05 - Dash Firmware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 t="str">
        <f>IFERROR(__xludf.DUMMYFUNCTION("""COMPUTED_VALUE"""),"FW_A05_T003")</f>
        <v>FW_A05_T003</v>
      </c>
      <c r="B73" s="11" t="str">
        <f>IFERROR(__xludf.DUMMYFUNCTION("""COMPUTED_VALUE"""),"CanLib integreated to dash")</f>
        <v>CanLib integreated to dash</v>
      </c>
      <c r="C73" s="11" t="str">
        <f>IFERROR(__xludf.DUMMYFUNCTION("""COMPUTED_VALUE"""),"Firmware")</f>
        <v>Firmware</v>
      </c>
      <c r="D73" s="20"/>
      <c r="E73" s="20">
        <f>IFERROR(__xludf.DUMMYFUNCTION("""COMPUTED_VALUE"""),46351.0)</f>
        <v>46351</v>
      </c>
      <c r="F73" s="11" t="str">
        <f>IFERROR(__xludf.DUMMYFUNCTION("""COMPUTED_VALUE"""),"Not Started")</f>
        <v>Not Started</v>
      </c>
      <c r="G73" s="11"/>
      <c r="H73" s="11" t="str">
        <f>IFERROR(__xludf.DUMMYFUNCTION("""COMPUTED_VALUE"""),"Yifan Li")</f>
        <v>Yifan Li</v>
      </c>
      <c r="I73" s="11"/>
      <c r="J73" s="11"/>
      <c r="K73" s="11"/>
      <c r="L73" s="11"/>
      <c r="M73" s="11" t="str">
        <f>IFERROR(__xludf.DUMMYFUNCTION("""COMPUTED_VALUE"""),"A05 - Dash Firmware")</f>
        <v>A05 - Dash Firmware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 t="str">
        <f>IFERROR(__xludf.DUMMYFUNCTION("""COMPUTED_VALUE"""),"FW_A05_T004")</f>
        <v>FW_A05_T004</v>
      </c>
      <c r="B74" s="11" t="str">
        <f>IFERROR(__xludf.DUMMYFUNCTION("""COMPUTED_VALUE"""),"dash code done")</f>
        <v>dash code done</v>
      </c>
      <c r="C74" s="11" t="str">
        <f>IFERROR(__xludf.DUMMYFUNCTION("""COMPUTED_VALUE"""),"Firmware")</f>
        <v>Firmware</v>
      </c>
      <c r="D74" s="20"/>
      <c r="E74" s="20">
        <f>IFERROR(__xludf.DUMMYFUNCTION("""COMPUTED_VALUE"""),46401.0)</f>
        <v>46401</v>
      </c>
      <c r="F74" s="11" t="str">
        <f>IFERROR(__xludf.DUMMYFUNCTION("""COMPUTED_VALUE"""),"Not Started")</f>
        <v>Not Started</v>
      </c>
      <c r="G74" s="11"/>
      <c r="H74" s="11" t="str">
        <f>IFERROR(__xludf.DUMMYFUNCTION("""COMPUTED_VALUE"""),"Yifan Li")</f>
        <v>Yifan Li</v>
      </c>
      <c r="I74" s="11"/>
      <c r="J74" s="11"/>
      <c r="K74" s="11"/>
      <c r="L74" s="11"/>
      <c r="M74" s="11" t="str">
        <f>IFERROR(__xludf.DUMMYFUNCTION("""COMPUTED_VALUE"""),"A05 - Dash Firmware")</f>
        <v>A05 - Dash Firmware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 t="str">
        <f>IFERROR(__xludf.DUMMYFUNCTION("""COMPUTED_VALUE"""),"FW_A05_T005")</f>
        <v>FW_A05_T005</v>
      </c>
      <c r="B75" s="11" t="str">
        <f>IFERROR(__xludf.DUMMYFUNCTION("""COMPUTED_VALUE"""),"website done")</f>
        <v>website done</v>
      </c>
      <c r="C75" s="11" t="str">
        <f>IFERROR(__xludf.DUMMYFUNCTION("""COMPUTED_VALUE"""),"Firmware")</f>
        <v>Firmware</v>
      </c>
      <c r="D75" s="20"/>
      <c r="E75" s="20">
        <f>IFERROR(__xludf.DUMMYFUNCTION("""COMPUTED_VALUE"""),46401.0)</f>
        <v>46401</v>
      </c>
      <c r="F75" s="11" t="str">
        <f>IFERROR(__xludf.DUMMYFUNCTION("""COMPUTED_VALUE"""),"Not Started")</f>
        <v>Not Started</v>
      </c>
      <c r="G75" s="11"/>
      <c r="H75" s="11" t="str">
        <f>IFERROR(__xludf.DUMMYFUNCTION("""COMPUTED_VALUE"""),"Yifan Li")</f>
        <v>Yifan Li</v>
      </c>
      <c r="I75" s="11"/>
      <c r="J75" s="11"/>
      <c r="K75" s="11"/>
      <c r="L75" s="11"/>
      <c r="M75" s="11" t="str">
        <f>IFERROR(__xludf.DUMMYFUNCTION("""COMPUTED_VALUE"""),"A05 - Dash Firmware")</f>
        <v>A05 - Dash Firmware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 t="str">
        <f>IFERROR(__xludf.DUMMYFUNCTION("""COMPUTED_VALUE"""),"FW_A05_T007")</f>
        <v>FW_A05_T007</v>
      </c>
      <c r="B76" s="11" t="str">
        <f>IFERROR(__xludf.DUMMYFUNCTION("""COMPUTED_VALUE"""),"Power limiting Logging off car")</f>
        <v>Power limiting Logging off car</v>
      </c>
      <c r="C76" s="11" t="str">
        <f>IFERROR(__xludf.DUMMYFUNCTION("""COMPUTED_VALUE"""),"Firmware")</f>
        <v>Firmware</v>
      </c>
      <c r="D76" s="20"/>
      <c r="E76" s="20">
        <f>IFERROR(__xludf.DUMMYFUNCTION("""COMPUTED_VALUE"""),46293.0)</f>
        <v>46293</v>
      </c>
      <c r="F76" s="11" t="str">
        <f>IFERROR(__xludf.DUMMYFUNCTION("""COMPUTED_VALUE"""),"Not Started")</f>
        <v>Not Started</v>
      </c>
      <c r="G76" s="11"/>
      <c r="H76" s="11" t="str">
        <f>IFERROR(__xludf.DUMMYFUNCTION("""COMPUTED_VALUE"""),"Yifan Li")</f>
        <v>Yifan Li</v>
      </c>
      <c r="I76" s="11"/>
      <c r="J76" s="11"/>
      <c r="K76" s="11"/>
      <c r="L76" s="11"/>
      <c r="M76" s="11" t="str">
        <f>IFERROR(__xludf.DUMMYFUNCTION("""COMPUTED_VALUE"""),"A05 - Dash Firmware")</f>
        <v>A05 - Dash Firmware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 t="str">
        <f>IFERROR(__xludf.DUMMYFUNCTION("""COMPUTED_VALUE"""),"FW_A05_T006")</f>
        <v>FW_A05_T006</v>
      </c>
      <c r="B77" s="11"/>
      <c r="C77" s="11" t="str">
        <f>IFERROR(__xludf.DUMMYFUNCTION("""COMPUTED_VALUE"""),"Firmware")</f>
        <v>Firmware</v>
      </c>
      <c r="D77" s="20"/>
      <c r="E77" s="20"/>
      <c r="F77" s="11"/>
      <c r="G77" s="11"/>
      <c r="H77" s="11"/>
      <c r="I77" s="11"/>
      <c r="J77" s="11"/>
      <c r="K77" s="11"/>
      <c r="L77" s="11"/>
      <c r="M77" s="11" t="str">
        <f>IFERROR(__xludf.DUMMYFUNCTION("""COMPUTED_VALUE"""),"A05 - Dash Firmware")</f>
        <v>A05 - Dash Firmware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 t="str">
        <f>IFERROR(__xludf.DUMMYFUNCTION("""COMPUTED_VALUE"""),"FW_A06_T001")</f>
        <v>FW_A06_T001</v>
      </c>
      <c r="B78" s="11" t="str">
        <f>IFERROR(__xludf.DUMMYFUNCTION("""COMPUTED_VALUE"""),"Telem website working")</f>
        <v>Telem website working</v>
      </c>
      <c r="C78" s="11" t="str">
        <f>IFERROR(__xludf.DUMMYFUNCTION("""COMPUTED_VALUE"""),"Firmware")</f>
        <v>Firmware</v>
      </c>
      <c r="D78" s="20"/>
      <c r="E78" s="20"/>
      <c r="F78" s="11"/>
      <c r="G78" s="11"/>
      <c r="H78" s="11" t="str">
        <f>IFERROR(__xludf.DUMMYFUNCTION("""COMPUTED_VALUE"""),"Amrita Talwar")</f>
        <v>Amrita Talwar</v>
      </c>
      <c r="I78" s="11"/>
      <c r="J78" s="11"/>
      <c r="K78" s="11"/>
      <c r="L78" s="11"/>
      <c r="M78" s="11" t="str">
        <f>IFERROR(__xludf.DUMMYFUNCTION("""COMPUTED_VALUE"""),"A06 - Other Firmware")</f>
        <v>A06 - Other Firmware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 t="str">
        <f>IFERROR(__xludf.DUMMYFUNCTION("""COMPUTED_VALUE"""),"AU_A02_T001")</f>
        <v>AU_A02_T001</v>
      </c>
      <c r="B79" s="11" t="str">
        <f>IFERROR(__xludf.DUMMYFUNCTION("""COMPUTED_VALUE"""),"Design modular ARG26 sensor mount(s)")</f>
        <v>Design modular ARG26 sensor mount(s)</v>
      </c>
      <c r="C79" s="11" t="str">
        <f>IFERROR(__xludf.DUMMYFUNCTION("""COMPUTED_VALUE"""),"Autonomy")</f>
        <v>Autonomy</v>
      </c>
      <c r="D79" s="20"/>
      <c r="E79" s="20">
        <f>IFERROR(__xludf.DUMMYFUNCTION("""COMPUTED_VALUE"""),46274.0)</f>
        <v>46274</v>
      </c>
      <c r="F79" s="11" t="str">
        <f>IFERROR(__xludf.DUMMYFUNCTION("""COMPUTED_VALUE"""),"Not Started")</f>
        <v>Not Started</v>
      </c>
      <c r="G79" s="11" t="str">
        <f>IFERROR(__xludf.DUMMYFUNCTION("""COMPUTED_VALUE"""),"AU_M001")</f>
        <v>AU_M001</v>
      </c>
      <c r="H79" s="11" t="str">
        <f>IFERROR(__xludf.DUMMYFUNCTION("""COMPUTED_VALUE"""),"Teddy Duncker")</f>
        <v>Teddy Duncker</v>
      </c>
      <c r="I79" s="11" t="str">
        <f>IFERROR(__xludf.DUMMYFUNCTION("""COMPUTED_VALUE"""),"Critical")</f>
        <v>Critical</v>
      </c>
      <c r="J79" s="11"/>
      <c r="K79" s="11"/>
      <c r="L79" s="11"/>
      <c r="M79" s="11" t="str">
        <f>IFERROR(__xludf.DUMMYFUNCTION("""COMPUTED_VALUE"""),"A02 - Autonomy Mechanical")</f>
        <v>A02 - Autonomy Mechanical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 t="str">
        <f>IFERROR(__xludf.DUMMYFUNCTION("""COMPUTED_VALUE"""),"AU_A02_T002")</f>
        <v>AU_A02_T002</v>
      </c>
      <c r="B80" s="11" t="str">
        <f>IFERROR(__xludf.DUMMYFUNCTION("""COMPUTED_VALUE"""),"Calculate drag of sensor choices for Nicholas")</f>
        <v>Calculate drag of sensor choices for Nicholas</v>
      </c>
      <c r="C80" s="11" t="str">
        <f>IFERROR(__xludf.DUMMYFUNCTION("""COMPUTED_VALUE"""),"Autonomy")</f>
        <v>Autonomy</v>
      </c>
      <c r="D80" s="20"/>
      <c r="E80" s="20"/>
      <c r="F80" s="11" t="str">
        <f>IFERROR(__xludf.DUMMYFUNCTION("""COMPUTED_VALUE"""),"Not Started")</f>
        <v>Not Started</v>
      </c>
      <c r="G80" s="11"/>
      <c r="H80" s="11" t="str">
        <f>IFERROR(__xludf.DUMMYFUNCTION("""COMPUTED_VALUE"""),"Teddy Duncker")</f>
        <v>Teddy Duncker</v>
      </c>
      <c r="I80" s="11" t="str">
        <f>IFERROR(__xludf.DUMMYFUNCTION("""COMPUTED_VALUE"""),"Low")</f>
        <v>Low</v>
      </c>
      <c r="J80" s="11"/>
      <c r="K80" s="11"/>
      <c r="L80" s="11"/>
      <c r="M80" s="11" t="str">
        <f>IFERROR(__xludf.DUMMYFUNCTION("""COMPUTED_VALUE"""),"A02 - Autonomy Mechanical")</f>
        <v>A02 - Autonomy Mechanical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 t="str">
        <f>IFERROR(__xludf.DUMMYFUNCTION("""COMPUTED_VALUE"""),"AU_A02_T003")</f>
        <v>AU_A02_T003</v>
      </c>
      <c r="B81" s="11" t="str">
        <f>IFERROR(__xludf.DUMMYFUNCTION("""COMPUTED_VALUE"""),"Build steering actuator system")</f>
        <v>Build steering actuator system</v>
      </c>
      <c r="C81" s="11" t="str">
        <f>IFERROR(__xludf.DUMMYFUNCTION("""COMPUTED_VALUE"""),"Autonomy")</f>
        <v>Autonomy</v>
      </c>
      <c r="D81" s="20"/>
      <c r="E81" s="20"/>
      <c r="F81" s="11" t="str">
        <f>IFERROR(__xludf.DUMMYFUNCTION("""COMPUTED_VALUE"""),"Not Started")</f>
        <v>Not Started</v>
      </c>
      <c r="G81" s="11" t="str">
        <f>IFERROR(__xludf.DUMMYFUNCTION("""COMPUTED_VALUE"""),"AU_M004")</f>
        <v>AU_M004</v>
      </c>
      <c r="H81" s="11" t="str">
        <f>IFERROR(__xludf.DUMMYFUNCTION("""COMPUTED_VALUE"""),"Teddy Duncker")</f>
        <v>Teddy Duncker</v>
      </c>
      <c r="I81" s="11" t="str">
        <f>IFERROR(__xludf.DUMMYFUNCTION("""COMPUTED_VALUE"""),"Critical")</f>
        <v>Critical</v>
      </c>
      <c r="J81" s="11"/>
      <c r="K81" s="11"/>
      <c r="L81" s="11"/>
      <c r="M81" s="11" t="str">
        <f>IFERROR(__xludf.DUMMYFUNCTION("""COMPUTED_VALUE"""),"A02 - Autonomy Mechanical")</f>
        <v>A02 - Autonomy Mechanical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 t="str">
        <f>IFERROR(__xludf.DUMMYFUNCTION("""COMPUTED_VALUE"""),"AU_A02_T004")</f>
        <v>AU_A02_T004</v>
      </c>
      <c r="B82" s="11" t="str">
        <f>IFERROR(__xludf.DUMMYFUNCTION("""COMPUTED_VALUE"""),"Integrate sensor mount onto ARG26")</f>
        <v>Integrate sensor mount onto ARG26</v>
      </c>
      <c r="C82" s="11" t="str">
        <f>IFERROR(__xludf.DUMMYFUNCTION("""COMPUTED_VALUE"""),"Autonomy")</f>
        <v>Autonomy</v>
      </c>
      <c r="D82" s="20"/>
      <c r="E82" s="20"/>
      <c r="F82" s="11" t="str">
        <f>IFERROR(__xludf.DUMMYFUNCTION("""COMPUTED_VALUE"""),"Not Started")</f>
        <v>Not Started</v>
      </c>
      <c r="G82" s="11" t="str">
        <f>IFERROR(__xludf.DUMMYFUNCTION("""COMPUTED_VALUE"""),"AU_M001")</f>
        <v>AU_M001</v>
      </c>
      <c r="H82" s="11" t="str">
        <f>IFERROR(__xludf.DUMMYFUNCTION("""COMPUTED_VALUE"""),"Teddy Duncker")</f>
        <v>Teddy Duncker</v>
      </c>
      <c r="I82" s="11" t="str">
        <f>IFERROR(__xludf.DUMMYFUNCTION("""COMPUTED_VALUE"""),"High")</f>
        <v>High</v>
      </c>
      <c r="J82" s="11"/>
      <c r="K82" s="11"/>
      <c r="L82" s="11"/>
      <c r="M82" s="11" t="str">
        <f>IFERROR(__xludf.DUMMYFUNCTION("""COMPUTED_VALUE"""),"A02 - Autonomy Mechanical")</f>
        <v>A02 - Autonomy Mechanical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 t="str">
        <f>IFERROR(__xludf.DUMMYFUNCTION("""COMPUTED_VALUE"""),"AU_A02_T005")</f>
        <v>AU_A02_T005</v>
      </c>
      <c r="B83" s="11"/>
      <c r="C83" s="11" t="str">
        <f>IFERROR(__xludf.DUMMYFUNCTION("""COMPUTED_VALUE"""),"Autonomy")</f>
        <v>Autonomy</v>
      </c>
      <c r="D83" s="20"/>
      <c r="E83" s="20"/>
      <c r="F83" s="11"/>
      <c r="G83" s="11"/>
      <c r="H83" s="11"/>
      <c r="I83" s="11"/>
      <c r="J83" s="11"/>
      <c r="K83" s="11"/>
      <c r="L83" s="11"/>
      <c r="M83" s="11" t="str">
        <f>IFERROR(__xludf.DUMMYFUNCTION("""COMPUTED_VALUE"""),"A02 - Autonomy Mechanical")</f>
        <v>A02 - Autonomy Mechanical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 t="str">
        <f>IFERROR(__xludf.DUMMYFUNCTION("""COMPUTED_VALUE"""),"AU_A03_T001")</f>
        <v>AU_A03_T001</v>
      </c>
      <c r="B84" s="11" t="str">
        <f>IFERROR(__xludf.DUMMYFUNCTION("""COMPUTED_VALUE"""),"Centerline vs. optimized analysis")</f>
        <v>Centerline vs. optimized analysis</v>
      </c>
      <c r="C84" s="11" t="str">
        <f>IFERROR(__xludf.DUMMYFUNCTION("""COMPUTED_VALUE"""),"Autonomy")</f>
        <v>Autonomy</v>
      </c>
      <c r="D84" s="20"/>
      <c r="E84" s="20"/>
      <c r="F84" s="11" t="str">
        <f>IFERROR(__xludf.DUMMYFUNCTION("""COMPUTED_VALUE"""),"Not Started")</f>
        <v>Not Started</v>
      </c>
      <c r="G84" s="11"/>
      <c r="H84" s="11" t="str">
        <f>IFERROR(__xludf.DUMMYFUNCTION("""COMPUTED_VALUE"""),"Sayee Edekar")</f>
        <v>Sayee Edekar</v>
      </c>
      <c r="I84" s="11" t="str">
        <f>IFERROR(__xludf.DUMMYFUNCTION("""COMPUTED_VALUE"""),"Low")</f>
        <v>Low</v>
      </c>
      <c r="J84" s="11"/>
      <c r="K84" s="11"/>
      <c r="L84" s="11" t="str">
        <f>IFERROR(__xludf.DUMMYFUNCTION("""COMPUTED_VALUE"""),"Not required")</f>
        <v>Not required</v>
      </c>
      <c r="M84" s="11" t="str">
        <f>IFERROR(__xludf.DUMMYFUNCTION("""COMPUTED_VALUE"""),"A03 - Path Planning and Following")</f>
        <v>A03 - Path Planning and Following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 t="str">
        <f>IFERROR(__xludf.DUMMYFUNCTION("""COMPUTED_VALUE"""),"AU_A03_T002")</f>
        <v>AU_A03_T002</v>
      </c>
      <c r="B85" s="11" t="str">
        <f>IFERROR(__xludf.DUMMYFUNCTION("""COMPUTED_VALUE"""),"Steering actuator step response transfer function generation")</f>
        <v>Steering actuator step response transfer function generation</v>
      </c>
      <c r="C85" s="11" t="str">
        <f>IFERROR(__xludf.DUMMYFUNCTION("""COMPUTED_VALUE"""),"Autonomy")</f>
        <v>Autonomy</v>
      </c>
      <c r="D85" s="20"/>
      <c r="E85" s="20"/>
      <c r="F85" s="11" t="str">
        <f>IFERROR(__xludf.DUMMYFUNCTION("""COMPUTED_VALUE"""),"Not Started")</f>
        <v>Not Started</v>
      </c>
      <c r="G85" s="11" t="str">
        <f>IFERROR(__xludf.DUMMYFUNCTION("""COMPUTED_VALUE"""),"AU_M004")</f>
        <v>AU_M004</v>
      </c>
      <c r="H85" s="11" t="str">
        <f>IFERROR(__xludf.DUMMYFUNCTION("""COMPUTED_VALUE"""),"Sayee Edekar")</f>
        <v>Sayee Edekar</v>
      </c>
      <c r="I85" s="11" t="str">
        <f>IFERROR(__xludf.DUMMYFUNCTION("""COMPUTED_VALUE"""),"High")</f>
        <v>High</v>
      </c>
      <c r="J85" s="11" t="str">
        <f>IFERROR(__xludf.DUMMYFUNCTION("""COMPUTED_VALUE"""),"AU_A02_T003")</f>
        <v>AU_A02_T003</v>
      </c>
      <c r="K85" s="11"/>
      <c r="L85" s="11"/>
      <c r="M85" s="11" t="str">
        <f>IFERROR(__xludf.DUMMYFUNCTION("""COMPUTED_VALUE"""),"A03 - Path Planning and Following")</f>
        <v>A03 - Path Planning and Following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 t="str">
        <f>IFERROR(__xludf.DUMMYFUNCTION("""COMPUTED_VALUE"""),"AU_A03_T003")</f>
        <v>AU_A03_T003</v>
      </c>
      <c r="B86" s="11" t="str">
        <f>IFERROR(__xludf.DUMMYFUNCTION("""COMPUTED_VALUE"""),"Minimum lookahead &amp; FOV analysis")</f>
        <v>Minimum lookahead &amp; FOV analysis</v>
      </c>
      <c r="C86" s="11" t="str">
        <f>IFERROR(__xludf.DUMMYFUNCTION("""COMPUTED_VALUE"""),"Autonomy")</f>
        <v>Autonomy</v>
      </c>
      <c r="D86" s="20"/>
      <c r="E86" s="20">
        <f>IFERROR(__xludf.DUMMYFUNCTION("""COMPUTED_VALUE"""),46229.0)</f>
        <v>46229</v>
      </c>
      <c r="F86" s="11" t="str">
        <f>IFERROR(__xludf.DUMMYFUNCTION("""COMPUTED_VALUE"""),"Complete")</f>
        <v>Complete</v>
      </c>
      <c r="G86" s="11" t="str">
        <f>IFERROR(__xludf.DUMMYFUNCTION("""COMPUTED_VALUE"""),"AU_M007")</f>
        <v>AU_M007</v>
      </c>
      <c r="H86" s="11" t="str">
        <f>IFERROR(__xludf.DUMMYFUNCTION("""COMPUTED_VALUE"""),"Teddy Duncker")</f>
        <v>Teddy Duncker</v>
      </c>
      <c r="I86" s="11" t="str">
        <f>IFERROR(__xludf.DUMMYFUNCTION("""COMPUTED_VALUE"""),"Critical")</f>
        <v>Critical</v>
      </c>
      <c r="J86" s="11"/>
      <c r="K86" s="11"/>
      <c r="L86" s="11"/>
      <c r="M86" s="11" t="str">
        <f>IFERROR(__xludf.DUMMYFUNCTION("""COMPUTED_VALUE"""),"A03 - Path Planning and Following")</f>
        <v>A03 - Path Planning and Following</v>
      </c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 t="str">
        <f>IFERROR(__xludf.DUMMYFUNCTION("""COMPUTED_VALUE"""),"AU_A03_T004")</f>
        <v>AU_A03_T004</v>
      </c>
      <c r="B87" s="11" t="str">
        <f>IFERROR(__xludf.DUMMYFUNCTION("""COMPUTED_VALUE"""),"Model Predictive Control parameters calculated")</f>
        <v>Model Predictive Control parameters calculated</v>
      </c>
      <c r="C87" s="11" t="str">
        <f>IFERROR(__xludf.DUMMYFUNCTION("""COMPUTED_VALUE"""),"Autonomy")</f>
        <v>Autonomy</v>
      </c>
      <c r="D87" s="20"/>
      <c r="E87" s="20">
        <f>IFERROR(__xludf.DUMMYFUNCTION("""COMPUTED_VALUE"""),46327.0)</f>
        <v>46327</v>
      </c>
      <c r="F87" s="11" t="str">
        <f>IFERROR(__xludf.DUMMYFUNCTION("""COMPUTED_VALUE"""),"Not Started")</f>
        <v>Not Started</v>
      </c>
      <c r="G87" s="11" t="str">
        <f>IFERROR(__xludf.DUMMYFUNCTION("""COMPUTED_VALUE"""),"AU_M004")</f>
        <v>AU_M004</v>
      </c>
      <c r="H87" s="11" t="str">
        <f>IFERROR(__xludf.DUMMYFUNCTION("""COMPUTED_VALUE"""),"Sayee Edekar")</f>
        <v>Sayee Edekar</v>
      </c>
      <c r="I87" s="11" t="str">
        <f>IFERROR(__xludf.DUMMYFUNCTION("""COMPUTED_VALUE"""),"Critical")</f>
        <v>Critical</v>
      </c>
      <c r="J87" s="11"/>
      <c r="K87" s="11"/>
      <c r="L87" s="11"/>
      <c r="M87" s="11" t="str">
        <f>IFERROR(__xludf.DUMMYFUNCTION("""COMPUTED_VALUE"""),"A03 - Path Planning and Following")</f>
        <v>A03 - Path Planning and Following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 t="str">
        <f>IFERROR(__xludf.DUMMYFUNCTION("""COMPUTED_VALUE"""),"AU_A04_T001")</f>
        <v>AU_A04_T001</v>
      </c>
      <c r="B88" s="11" t="str">
        <f>IFERROR(__xludf.DUMMYFUNCTION("""COMPUTED_VALUE"""),"Camera choice")</f>
        <v>Camera choice</v>
      </c>
      <c r="C88" s="11" t="str">
        <f>IFERROR(__xludf.DUMMYFUNCTION("""COMPUTED_VALUE"""),"Autonomy")</f>
        <v>Autonomy</v>
      </c>
      <c r="D88" s="20"/>
      <c r="E88" s="20"/>
      <c r="F88" s="11" t="str">
        <f>IFERROR(__xludf.DUMMYFUNCTION("""COMPUTED_VALUE"""),"Complete")</f>
        <v>Complete</v>
      </c>
      <c r="G88" s="11" t="str">
        <f>IFERROR(__xludf.DUMMYFUNCTION("""COMPUTED_VALUE"""),"AU_M007")</f>
        <v>AU_M007</v>
      </c>
      <c r="H88" s="11" t="str">
        <f>IFERROR(__xludf.DUMMYFUNCTION("""COMPUTED_VALUE"""),"Teddy Duncker")</f>
        <v>Teddy Duncker</v>
      </c>
      <c r="I88" s="11" t="str">
        <f>IFERROR(__xludf.DUMMYFUNCTION("""COMPUTED_VALUE"""),"Critical")</f>
        <v>Critical</v>
      </c>
      <c r="J88" s="11"/>
      <c r="K88" s="11"/>
      <c r="L88" s="11"/>
      <c r="M88" s="11" t="str">
        <f>IFERROR(__xludf.DUMMYFUNCTION("""COMPUTED_VALUE"""),"A04 - Sensors and Harnessing")</f>
        <v>A04 - Sensors and Harnessing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 t="str">
        <f>IFERROR(__xludf.DUMMYFUNCTION("""COMPUTED_VALUE"""),"AU_A04_T002")</f>
        <v>AU_A04_T002</v>
      </c>
      <c r="B89" s="11" t="str">
        <f>IFERROR(__xludf.DUMMYFUNCTION("""COMPUTED_VALUE"""),"LiDAR choice")</f>
        <v>LiDAR choice</v>
      </c>
      <c r="C89" s="11" t="str">
        <f>IFERROR(__xludf.DUMMYFUNCTION("""COMPUTED_VALUE"""),"Autonomy")</f>
        <v>Autonomy</v>
      </c>
      <c r="D89" s="20"/>
      <c r="E89" s="20"/>
      <c r="F89" s="11" t="str">
        <f>IFERROR(__xludf.DUMMYFUNCTION("""COMPUTED_VALUE"""),"Complete")</f>
        <v>Complete</v>
      </c>
      <c r="G89" s="11" t="str">
        <f>IFERROR(__xludf.DUMMYFUNCTION("""COMPUTED_VALUE"""),"AU_M007")</f>
        <v>AU_M007</v>
      </c>
      <c r="H89" s="11" t="str">
        <f>IFERROR(__xludf.DUMMYFUNCTION("""COMPUTED_VALUE"""),"Teddy Duncker")</f>
        <v>Teddy Duncker</v>
      </c>
      <c r="I89" s="11" t="str">
        <f>IFERROR(__xludf.DUMMYFUNCTION("""COMPUTED_VALUE"""),"Critical")</f>
        <v>Critical</v>
      </c>
      <c r="J89" s="11"/>
      <c r="K89" s="11"/>
      <c r="L89" s="11"/>
      <c r="M89" s="11" t="str">
        <f>IFERROR(__xludf.DUMMYFUNCTION("""COMPUTED_VALUE"""),"A04 - Sensors and Harnessing")</f>
        <v>A04 - Sensors and Harnessing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 t="str">
        <f>IFERROR(__xludf.DUMMYFUNCTION("""COMPUTED_VALUE"""),"AU_A05_T001")</f>
        <v>AU_A05_T001</v>
      </c>
      <c r="B90" s="11" t="str">
        <f>IFERROR(__xludf.DUMMYFUNCTION("""COMPUTED_VALUE"""),"Compute module choice")</f>
        <v>Compute module choice</v>
      </c>
      <c r="C90" s="11" t="str">
        <f>IFERROR(__xludf.DUMMYFUNCTION("""COMPUTED_VALUE"""),"Autonomy")</f>
        <v>Autonomy</v>
      </c>
      <c r="D90" s="20"/>
      <c r="E90" s="20">
        <f>IFERROR(__xludf.DUMMYFUNCTION("""COMPUTED_VALUE"""),46265.0)</f>
        <v>46265</v>
      </c>
      <c r="F90" s="11" t="str">
        <f>IFERROR(__xludf.DUMMYFUNCTION("""COMPUTED_VALUE"""),"Complete")</f>
        <v>Complete</v>
      </c>
      <c r="G90" s="11" t="str">
        <f>IFERROR(__xludf.DUMMYFUNCTION("""COMPUTED_VALUE"""),"AU_M007")</f>
        <v>AU_M007</v>
      </c>
      <c r="H90" s="11" t="str">
        <f>IFERROR(__xludf.DUMMYFUNCTION("""COMPUTED_VALUE"""),"Benson Zhuo")</f>
        <v>Benson Zhuo</v>
      </c>
      <c r="I90" s="11" t="str">
        <f>IFERROR(__xludf.DUMMYFUNCTION("""COMPUTED_VALUE"""),"Critical")</f>
        <v>Critical</v>
      </c>
      <c r="J90" s="11"/>
      <c r="K90" s="11"/>
      <c r="L90" s="11"/>
      <c r="M90" s="11" t="str">
        <f>IFERROR(__xludf.DUMMYFUNCTION("""COMPUTED_VALUE"""),"A05 - Compute and Hardware")</f>
        <v>A05 - Compute and Hardware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 t="str">
        <f>IFERROR(__xludf.DUMMYFUNCTION("""COMPUTED_VALUE"""),"AU_A05_T002")</f>
        <v>AU_A05_T002</v>
      </c>
      <c r="B91" s="11" t="str">
        <f>IFERROR(__xludf.DUMMYFUNCTION("""COMPUTED_VALUE"""),"Figure out what PCBs will be needed for safety compliance autonomy integration to ARG26")</f>
        <v>Figure out what PCBs will be needed for safety compliance autonomy integration to ARG26</v>
      </c>
      <c r="C91" s="11" t="str">
        <f>IFERROR(__xludf.DUMMYFUNCTION("""COMPUTED_VALUE"""),"Autonomy")</f>
        <v>Autonomy</v>
      </c>
      <c r="D91" s="20"/>
      <c r="E91" s="20">
        <f>IFERROR(__xludf.DUMMYFUNCTION("""COMPUTED_VALUE"""),46262.0)</f>
        <v>46262</v>
      </c>
      <c r="F91" s="11" t="str">
        <f>IFERROR(__xludf.DUMMYFUNCTION("""COMPUTED_VALUE"""),"Complete")</f>
        <v>Complete</v>
      </c>
      <c r="G91" s="11" t="str">
        <f>IFERROR(__xludf.DUMMYFUNCTION("""COMPUTED_VALUE"""),"AU_M004")</f>
        <v>AU_M004</v>
      </c>
      <c r="H91" s="11" t="str">
        <f>IFERROR(__xludf.DUMMYFUNCTION("""COMPUTED_VALUE"""),"Benson Zhuo")</f>
        <v>Benson Zhuo</v>
      </c>
      <c r="I91" s="11" t="str">
        <f>IFERROR(__xludf.DUMMYFUNCTION("""COMPUTED_VALUE"""),"High")</f>
        <v>High</v>
      </c>
      <c r="J91" s="11"/>
      <c r="K91" s="11"/>
      <c r="L91" s="11"/>
      <c r="M91" s="11" t="str">
        <f>IFERROR(__xludf.DUMMYFUNCTION("""COMPUTED_VALUE"""),"A05 - Compute and Hardware")</f>
        <v>A05 - Compute and Hardware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 t="str">
        <f>IFERROR(__xludf.DUMMYFUNCTION("""COMPUTED_VALUE"""),"AU_A05_T003")</f>
        <v>AU_A05_T003</v>
      </c>
      <c r="B92" s="11" t="str">
        <f>IFERROR(__xludf.DUMMYFUNCTION("""COMPUTED_VALUE"""),"Place order for DCU")</f>
        <v>Place order for DCU</v>
      </c>
      <c r="C92" s="11" t="str">
        <f>IFERROR(__xludf.DUMMYFUNCTION("""COMPUTED_VALUE"""),"Autonomy")</f>
        <v>Autonomy</v>
      </c>
      <c r="D92" s="20"/>
      <c r="E92" s="20">
        <f>IFERROR(__xludf.DUMMYFUNCTION("""COMPUTED_VALUE"""),46283.0)</f>
        <v>46283</v>
      </c>
      <c r="F92" s="11" t="str">
        <f>IFERROR(__xludf.DUMMYFUNCTION("""COMPUTED_VALUE"""),"Not Started")</f>
        <v>Not Started</v>
      </c>
      <c r="G92" s="11" t="str">
        <f>IFERROR(__xludf.DUMMYFUNCTION("""COMPUTED_VALUE"""),"AU_M004")</f>
        <v>AU_M004</v>
      </c>
      <c r="H92" s="11" t="str">
        <f>IFERROR(__xludf.DUMMYFUNCTION("""COMPUTED_VALUE"""),"Benson Zhuo")</f>
        <v>Benson Zhuo</v>
      </c>
      <c r="I92" s="11" t="str">
        <f>IFERROR(__xludf.DUMMYFUNCTION("""COMPUTED_VALUE"""),"Medium")</f>
        <v>Medium</v>
      </c>
      <c r="J92" s="11"/>
      <c r="K92" s="11"/>
      <c r="L92" s="11"/>
      <c r="M92" s="11" t="str">
        <f>IFERROR(__xludf.DUMMYFUNCTION("""COMPUTED_VALUE"""),"A05 - Compute and Hardware")</f>
        <v>A05 - Compute and Hardware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 t="str">
        <f>IFERROR(__xludf.DUMMYFUNCTION("""COMPUTED_VALUE"""),"AU_A05_T004")</f>
        <v>AU_A05_T004</v>
      </c>
      <c r="B93" s="11" t="str">
        <f>IFERROR(__xludf.DUMMYFUNCTION("""COMPUTED_VALUE"""),"Bring up and test DCU")</f>
        <v>Bring up and test DCU</v>
      </c>
      <c r="C93" s="11" t="str">
        <f>IFERROR(__xludf.DUMMYFUNCTION("""COMPUTED_VALUE"""),"Autonomy")</f>
        <v>Autonomy</v>
      </c>
      <c r="D93" s="20"/>
      <c r="E93" s="20">
        <f>IFERROR(__xludf.DUMMYFUNCTION("""COMPUTED_VALUE"""),46304.0)</f>
        <v>46304</v>
      </c>
      <c r="F93" s="11" t="str">
        <f>IFERROR(__xludf.DUMMYFUNCTION("""COMPUTED_VALUE"""),"Not Started")</f>
        <v>Not Started</v>
      </c>
      <c r="G93" s="11" t="str">
        <f>IFERROR(__xludf.DUMMYFUNCTION("""COMPUTED_VALUE"""),"AU_M004")</f>
        <v>AU_M004</v>
      </c>
      <c r="H93" s="11" t="str">
        <f>IFERROR(__xludf.DUMMYFUNCTION("""COMPUTED_VALUE"""),"Benson Zhuo")</f>
        <v>Benson Zhuo</v>
      </c>
      <c r="I93" s="11" t="str">
        <f>IFERROR(__xludf.DUMMYFUNCTION("""COMPUTED_VALUE"""),"Medium")</f>
        <v>Medium</v>
      </c>
      <c r="J93" s="11" t="str">
        <f>IFERROR(__xludf.DUMMYFUNCTION("""COMPUTED_VALUE"""),"AU_A05_T003")</f>
        <v>AU_A05_T003</v>
      </c>
      <c r="K93" s="11"/>
      <c r="L93" s="11"/>
      <c r="M93" s="11" t="str">
        <f>IFERROR(__xludf.DUMMYFUNCTION("""COMPUTED_VALUE"""),"A05 - Compute and Hardware")</f>
        <v>A05 - Compute and Hardware</v>
      </c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 t="str">
        <f>IFERROR(__xludf.DUMMYFUNCTION("""COMPUTED_VALUE"""),"AU_A05_T005")</f>
        <v>AU_A05_T005</v>
      </c>
      <c r="B94" s="11" t="str">
        <f>IFERROR(__xludf.DUMMYFUNCTION("""COMPUTED_VALUE"""),"Order RAM, storage, CAN PCIe card")</f>
        <v>Order RAM, storage, CAN PCIe card</v>
      </c>
      <c r="C94" s="11" t="str">
        <f>IFERROR(__xludf.DUMMYFUNCTION("""COMPUTED_VALUE"""),"Autonomy")</f>
        <v>Autonomy</v>
      </c>
      <c r="D94" s="20"/>
      <c r="E94" s="20">
        <f>IFERROR(__xludf.DUMMYFUNCTION("""COMPUTED_VALUE"""),46272.0)</f>
        <v>46272</v>
      </c>
      <c r="F94" s="11" t="str">
        <f>IFERROR(__xludf.DUMMYFUNCTION("""COMPUTED_VALUE"""),"Not Started")</f>
        <v>Not Started</v>
      </c>
      <c r="G94" s="11" t="str">
        <f>IFERROR(__xludf.DUMMYFUNCTION("""COMPUTED_VALUE"""),"AU_M007")</f>
        <v>AU_M007</v>
      </c>
      <c r="H94" s="11" t="str">
        <f>IFERROR(__xludf.DUMMYFUNCTION("""COMPUTED_VALUE"""),"Benson Zhuo")</f>
        <v>Benson Zhuo</v>
      </c>
      <c r="I94" s="11" t="str">
        <f>IFERROR(__xludf.DUMMYFUNCTION("""COMPUTED_VALUE"""),"Critical")</f>
        <v>Critical</v>
      </c>
      <c r="J94" s="11" t="str">
        <f>IFERROR(__xludf.DUMMYFUNCTION("""COMPUTED_VALUE"""),"AU_A05_T001")</f>
        <v>AU_A05_T001</v>
      </c>
      <c r="K94" s="11"/>
      <c r="L94" s="11"/>
      <c r="M94" s="11" t="str">
        <f>IFERROR(__xludf.DUMMYFUNCTION("""COMPUTED_VALUE"""),"A05 - Compute and Hardware")</f>
        <v>A05 - Compute and Hardware</v>
      </c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 t="str">
        <f>IFERROR(__xludf.DUMMYFUNCTION("""COMPUTED_VALUE"""),"AU_A06_T001")</f>
        <v>AU_A06_T001</v>
      </c>
      <c r="B95" s="11" t="str">
        <f>IFERROR(__xludf.DUMMYFUNCTION("""COMPUTED_VALUE"""),"Buy Cones &amp; Reflective Tape")</f>
        <v>Buy Cones &amp; Reflective Tape</v>
      </c>
      <c r="C95" s="11" t="str">
        <f>IFERROR(__xludf.DUMMYFUNCTION("""COMPUTED_VALUE"""),"Autonomy")</f>
        <v>Autonomy</v>
      </c>
      <c r="D95" s="20"/>
      <c r="E95" s="20">
        <f>IFERROR(__xludf.DUMMYFUNCTION("""COMPUTED_VALUE"""),46272.0)</f>
        <v>46272</v>
      </c>
      <c r="F95" s="11" t="str">
        <f>IFERROR(__xludf.DUMMYFUNCTION("""COMPUTED_VALUE"""),"In Progress")</f>
        <v>In Progress</v>
      </c>
      <c r="G95" s="11" t="str">
        <f>IFERROR(__xludf.DUMMYFUNCTION("""COMPUTED_VALUE"""),"AU_M001")</f>
        <v>AU_M001</v>
      </c>
      <c r="H95" s="11" t="str">
        <f>IFERROR(__xludf.DUMMYFUNCTION("""COMPUTED_VALUE"""),"Emily Ng")</f>
        <v>Emily Ng</v>
      </c>
      <c r="I95" s="11" t="str">
        <f>IFERROR(__xludf.DUMMYFUNCTION("""COMPUTED_VALUE"""),"High")</f>
        <v>High</v>
      </c>
      <c r="J95" s="11"/>
      <c r="K95" s="11"/>
      <c r="L95" s="11"/>
      <c r="M95" s="11" t="str">
        <f>IFERROR(__xludf.DUMMYFUNCTION("""COMPUTED_VALUE"""),"A06 - Perception and Data Interface")</f>
        <v>A06 - Perception and Data Interface</v>
      </c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 t="str">
        <f>IFERROR(__xludf.DUMMYFUNCTION("""COMPUTED_VALUE"""),"AU_A06_T002")</f>
        <v>AU_A06_T002</v>
      </c>
      <c r="B96" s="11" t="str">
        <f>IFERROR(__xludf.DUMMYFUNCTION("""COMPUTED_VALUE"""),"Get Camera Data off of the Hteng Vishi to Linux/ROS")</f>
        <v>Get Camera Data off of the Hteng Vishi to Linux/ROS</v>
      </c>
      <c r="C96" s="11" t="str">
        <f>IFERROR(__xludf.DUMMYFUNCTION("""COMPUTED_VALUE"""),"Autonomy")</f>
        <v>Autonomy</v>
      </c>
      <c r="D96" s="20"/>
      <c r="E96" s="20">
        <f>IFERROR(__xludf.DUMMYFUNCTION("""COMPUTED_VALUE"""),46274.0)</f>
        <v>46274</v>
      </c>
      <c r="F96" s="11" t="str">
        <f>IFERROR(__xludf.DUMMYFUNCTION("""COMPUTED_VALUE"""),"Not Started")</f>
        <v>Not Started</v>
      </c>
      <c r="G96" s="11" t="str">
        <f>IFERROR(__xludf.DUMMYFUNCTION("""COMPUTED_VALUE"""),"AU_M001")</f>
        <v>AU_M001</v>
      </c>
      <c r="H96" s="11" t="str">
        <f>IFERROR(__xludf.DUMMYFUNCTION("""COMPUTED_VALUE"""),"Emily Ng")</f>
        <v>Emily Ng</v>
      </c>
      <c r="I96" s="11" t="str">
        <f>IFERROR(__xludf.DUMMYFUNCTION("""COMPUTED_VALUE"""),"Critical")</f>
        <v>Critical</v>
      </c>
      <c r="J96" s="11"/>
      <c r="K96" s="11"/>
      <c r="L96" s="11"/>
      <c r="M96" s="11" t="str">
        <f>IFERROR(__xludf.DUMMYFUNCTION("""COMPUTED_VALUE"""),"A06 - Perception and Data Interface")</f>
        <v>A06 - Perception and Data Interface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 t="str">
        <f>IFERROR(__xludf.DUMMYFUNCTION("""COMPUTED_VALUE"""),"AU_A06_T003")</f>
        <v>AU_A06_T003</v>
      </c>
      <c r="B97" s="11" t="str">
        <f>IFERROR(__xludf.DUMMYFUNCTION("""COMPUTED_VALUE"""),"Determine required peripherals for putting cameras on car")</f>
        <v>Determine required peripherals for putting cameras on car</v>
      </c>
      <c r="C97" s="11" t="str">
        <f>IFERROR(__xludf.DUMMYFUNCTION("""COMPUTED_VALUE"""),"Autonomy")</f>
        <v>Autonomy</v>
      </c>
      <c r="D97" s="20"/>
      <c r="E97" s="20">
        <f>IFERROR(__xludf.DUMMYFUNCTION("""COMPUTED_VALUE"""),46274.0)</f>
        <v>46274</v>
      </c>
      <c r="F97" s="11" t="str">
        <f>IFERROR(__xludf.DUMMYFUNCTION("""COMPUTED_VALUE"""),"Not Started")</f>
        <v>Not Started</v>
      </c>
      <c r="G97" s="11" t="str">
        <f>IFERROR(__xludf.DUMMYFUNCTION("""COMPUTED_VALUE"""),"AU_M001")</f>
        <v>AU_M001</v>
      </c>
      <c r="H97" s="11" t="str">
        <f>IFERROR(__xludf.DUMMYFUNCTION("""COMPUTED_VALUE"""),"Emily Ng")</f>
        <v>Emily Ng</v>
      </c>
      <c r="I97" s="11" t="str">
        <f>IFERROR(__xludf.DUMMYFUNCTION("""COMPUTED_VALUE"""),"Medium")</f>
        <v>Medium</v>
      </c>
      <c r="J97" s="11"/>
      <c r="K97" s="11"/>
      <c r="L97" s="11"/>
      <c r="M97" s="11" t="str">
        <f>IFERROR(__xludf.DUMMYFUNCTION("""COMPUTED_VALUE"""),"A06 - Perception and Data Interface")</f>
        <v>A06 - Perception and Data Interface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 t="str">
        <f>IFERROR(__xludf.DUMMYFUNCTION("""COMPUTED_VALUE"""),"AU_A06_T004")</f>
        <v>AU_A06_T004</v>
      </c>
      <c r="B98" s="11" t="str">
        <f>IFERROR(__xludf.DUMMYFUNCTION("""COMPUTED_VALUE"""),"CNN/YOLO/other detector for cone color type in autolab")</f>
        <v>CNN/YOLO/other detector for cone color type in autolab</v>
      </c>
      <c r="C98" s="11" t="str">
        <f>IFERROR(__xludf.DUMMYFUNCTION("""COMPUTED_VALUE"""),"Autonomy")</f>
        <v>Autonomy</v>
      </c>
      <c r="D98" s="20"/>
      <c r="E98" s="20">
        <f>IFERROR(__xludf.DUMMYFUNCTION("""COMPUTED_VALUE"""),46281.0)</f>
        <v>46281</v>
      </c>
      <c r="F98" s="11" t="str">
        <f>IFERROR(__xludf.DUMMYFUNCTION("""COMPUTED_VALUE"""),"Not Started")</f>
        <v>Not Started</v>
      </c>
      <c r="G98" s="11" t="str">
        <f>IFERROR(__xludf.DUMMYFUNCTION("""COMPUTED_VALUE"""),"AU_M002")</f>
        <v>AU_M002</v>
      </c>
      <c r="H98" s="11" t="str">
        <f>IFERROR(__xludf.DUMMYFUNCTION("""COMPUTED_VALUE"""),"Emily Ng")</f>
        <v>Emily Ng</v>
      </c>
      <c r="I98" s="11" t="str">
        <f>IFERROR(__xludf.DUMMYFUNCTION("""COMPUTED_VALUE"""),"High")</f>
        <v>High</v>
      </c>
      <c r="J98" s="11"/>
      <c r="K98" s="11"/>
      <c r="L98" s="11"/>
      <c r="M98" s="11" t="str">
        <f>IFERROR(__xludf.DUMMYFUNCTION("""COMPUTED_VALUE"""),"A06 - Perception and Data Interface")</f>
        <v>A06 - Perception and Data Interface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 t="str">
        <f>IFERROR(__xludf.DUMMYFUNCTION("""COMPUTED_VALUE"""),"AU_A06_T005")</f>
        <v>AU_A06_T005</v>
      </c>
      <c r="B99" s="11" t="str">
        <f>IFERROR(__xludf.DUMMYFUNCTION("""COMPUTED_VALUE"""),"Get Data off of the LiDAR")</f>
        <v>Get Data off of the LiDAR</v>
      </c>
      <c r="C99" s="11" t="str">
        <f>IFERROR(__xludf.DUMMYFUNCTION("""COMPUTED_VALUE"""),"Autonomy")</f>
        <v>Autonomy</v>
      </c>
      <c r="D99" s="20"/>
      <c r="E99" s="20">
        <f>IFERROR(__xludf.DUMMYFUNCTION("""COMPUTED_VALUE"""),46295.0)</f>
        <v>46295</v>
      </c>
      <c r="F99" s="11" t="str">
        <f>IFERROR(__xludf.DUMMYFUNCTION("""COMPUTED_VALUE"""),"Not Started")</f>
        <v>Not Started</v>
      </c>
      <c r="G99" s="11" t="str">
        <f>IFERROR(__xludf.DUMMYFUNCTION("""COMPUTED_VALUE"""),"AU_M001")</f>
        <v>AU_M001</v>
      </c>
      <c r="H99" s="11" t="str">
        <f>IFERROR(__xludf.DUMMYFUNCTION("""COMPUTED_VALUE"""),"Emily Ng")</f>
        <v>Emily Ng</v>
      </c>
      <c r="I99" s="11" t="str">
        <f>IFERROR(__xludf.DUMMYFUNCTION("""COMPUTED_VALUE"""),"Critical")</f>
        <v>Critical</v>
      </c>
      <c r="J99" s="11"/>
      <c r="K99" s="11"/>
      <c r="L99" s="11" t="str">
        <f>IFERROR(__xludf.DUMMYFUNCTION("""COMPUTED_VALUE"""),"Will depend on LiDAR delivery date")</f>
        <v>Will depend on LiDAR delivery date</v>
      </c>
      <c r="M99" s="11" t="str">
        <f>IFERROR(__xludf.DUMMYFUNCTION("""COMPUTED_VALUE"""),"A06 - Perception and Data Interface")</f>
        <v>A06 - Perception and Data Interface</v>
      </c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 t="str">
        <f>IFERROR(__xludf.DUMMYFUNCTION("""COMPUTED_VALUE"""),"AU_A06_T007")</f>
        <v>AU_A06_T007</v>
      </c>
      <c r="B100" s="11" t="str">
        <f>IFERROR(__xludf.DUMMYFUNCTION("""COMPUTED_VALUE"""),"Implement ground removal algorithm")</f>
        <v>Implement ground removal algorithm</v>
      </c>
      <c r="C100" s="11" t="str">
        <f>IFERROR(__xludf.DUMMYFUNCTION("""COMPUTED_VALUE"""),"Autonomy")</f>
        <v>Autonomy</v>
      </c>
      <c r="D100" s="20"/>
      <c r="E100" s="20">
        <f>IFERROR(__xludf.DUMMYFUNCTION("""COMPUTED_VALUE"""),46305.0)</f>
        <v>46305</v>
      </c>
      <c r="F100" s="11" t="str">
        <f>IFERROR(__xludf.DUMMYFUNCTION("""COMPUTED_VALUE"""),"Not Started")</f>
        <v>Not Started</v>
      </c>
      <c r="G100" s="11" t="str">
        <f>IFERROR(__xludf.DUMMYFUNCTION("""COMPUTED_VALUE"""),"AU_M002")</f>
        <v>AU_M002</v>
      </c>
      <c r="H100" s="11" t="str">
        <f>IFERROR(__xludf.DUMMYFUNCTION("""COMPUTED_VALUE"""),"Emily Ng")</f>
        <v>Emily Ng</v>
      </c>
      <c r="I100" s="11" t="str">
        <f>IFERROR(__xludf.DUMMYFUNCTION("""COMPUTED_VALUE"""),"High")</f>
        <v>High</v>
      </c>
      <c r="J100" s="11"/>
      <c r="K100" s="11"/>
      <c r="L100" s="11"/>
      <c r="M100" s="11" t="str">
        <f>IFERROR(__xludf.DUMMYFUNCTION("""COMPUTED_VALUE"""),"A06 - Perception and Data Interface")</f>
        <v>A06 - Perception and Data Interface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 t="str">
        <f>IFERROR(__xludf.DUMMYFUNCTION("""COMPUTED_VALUE"""),"AU_A06_T006")</f>
        <v>AU_A06_T006</v>
      </c>
      <c r="B101" s="11" t="str">
        <f>IFERROR(__xludf.DUMMYFUNCTION("""COMPUTED_VALUE"""),"Implement point clustering algorithm for LiDAR cone detection")</f>
        <v>Implement point clustering algorithm for LiDAR cone detection</v>
      </c>
      <c r="C101" s="11" t="str">
        <f>IFERROR(__xludf.DUMMYFUNCTION("""COMPUTED_VALUE"""),"Autonomy")</f>
        <v>Autonomy</v>
      </c>
      <c r="D101" s="20"/>
      <c r="E101" s="20">
        <f>IFERROR(__xludf.DUMMYFUNCTION("""COMPUTED_VALUE"""),46310.0)</f>
        <v>46310</v>
      </c>
      <c r="F101" s="11" t="str">
        <f>IFERROR(__xludf.DUMMYFUNCTION("""COMPUTED_VALUE"""),"Not Started")</f>
        <v>Not Started</v>
      </c>
      <c r="G101" s="11" t="str">
        <f>IFERROR(__xludf.DUMMYFUNCTION("""COMPUTED_VALUE"""),"AU_M002")</f>
        <v>AU_M002</v>
      </c>
      <c r="H101" s="11" t="str">
        <f>IFERROR(__xludf.DUMMYFUNCTION("""COMPUTED_VALUE"""),"Emily Ng")</f>
        <v>Emily Ng</v>
      </c>
      <c r="I101" s="11" t="str">
        <f>IFERROR(__xludf.DUMMYFUNCTION("""COMPUTED_VALUE"""),"High")</f>
        <v>High</v>
      </c>
      <c r="J101" s="11"/>
      <c r="K101" s="11"/>
      <c r="L101" s="11"/>
      <c r="M101" s="11" t="str">
        <f>IFERROR(__xludf.DUMMYFUNCTION("""COMPUTED_VALUE"""),"A06 - Perception and Data Interface")</f>
        <v>A06 - Perception and Data Interface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 t="str">
        <f>IFERROR(__xludf.DUMMYFUNCTION("""COMPUTED_VALUE"""),"AU_A07_T001")</f>
        <v>AU_A07_T001</v>
      </c>
      <c r="B102" s="11" t="str">
        <f>IFERROR(__xludf.DUMMYFUNCTION("""COMPUTED_VALUE"""),"SITL suite")</f>
        <v>SITL suite</v>
      </c>
      <c r="C102" s="11" t="str">
        <f>IFERROR(__xludf.DUMMYFUNCTION("""COMPUTED_VALUE"""),"Autonomy")</f>
        <v>Autonomy</v>
      </c>
      <c r="D102" s="20"/>
      <c r="E102" s="20">
        <f>IFERROR(__xludf.DUMMYFUNCTION("""COMPUTED_VALUE"""),46407.0)</f>
        <v>46407</v>
      </c>
      <c r="F102" s="11" t="str">
        <f>IFERROR(__xludf.DUMMYFUNCTION("""COMPUTED_VALUE"""),"Not Started")</f>
        <v>Not Started</v>
      </c>
      <c r="G102" s="11" t="str">
        <f>IFERROR(__xludf.DUMMYFUNCTION("""COMPUTED_VALUE"""),"AU_M004")</f>
        <v>AU_M004</v>
      </c>
      <c r="H102" s="11" t="str">
        <f>IFERROR(__xludf.DUMMYFUNCTION("""COMPUTED_VALUE"""),"Emily Ng")</f>
        <v>Emily Ng</v>
      </c>
      <c r="I102" s="11" t="str">
        <f>IFERROR(__xludf.DUMMYFUNCTION("""COMPUTED_VALUE"""),"Low")</f>
        <v>Low</v>
      </c>
      <c r="J102" s="11"/>
      <c r="K102" s="11"/>
      <c r="L102" s="11"/>
      <c r="M102" s="11" t="str">
        <f>IFERROR(__xludf.DUMMYFUNCTION("""COMPUTED_VALUE"""),"A07 - Software Pipeline")</f>
        <v>A07 - Software Pipeline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 t="str">
        <f>IFERROR(__xludf.DUMMYFUNCTION("""COMPUTED_VALUE"""),"AE_A01_T001")</f>
        <v>AE_A01_T001</v>
      </c>
      <c r="B103" s="11" t="str">
        <f>IFERROR(__xludf.DUMMYFUNCTION("""COMPUTED_VALUE"""),"Aero Mounted")</f>
        <v>Aero Mounted</v>
      </c>
      <c r="C103" s="11" t="str">
        <f>IFERROR(__xludf.DUMMYFUNCTION("""COMPUTED_VALUE"""),"Aerodynamics")</f>
        <v>Aerodynamics</v>
      </c>
      <c r="D103" s="20">
        <f>IFERROR(__xludf.DUMMYFUNCTION("""COMPUTED_VALUE"""),46388.0)</f>
        <v>46388</v>
      </c>
      <c r="E103" s="20">
        <f>IFERROR(__xludf.DUMMYFUNCTION("""COMPUTED_VALUE"""),46447.0)</f>
        <v>46447</v>
      </c>
      <c r="F103" s="11" t="str">
        <f>IFERROR(__xludf.DUMMYFUNCTION("""COMPUTED_VALUE"""),"Not Started")</f>
        <v>Not Started</v>
      </c>
      <c r="G103" s="11"/>
      <c r="H103" s="11" t="str">
        <f>IFERROR(__xludf.DUMMYFUNCTION("""COMPUTED_VALUE"""),"Kathryn Ainley-Zoll")</f>
        <v>Kathryn Ainley-Zoll</v>
      </c>
      <c r="I103" s="11" t="str">
        <f>IFERROR(__xludf.DUMMYFUNCTION("""COMPUTED_VALUE"""),"High")</f>
        <v>High</v>
      </c>
      <c r="J103" s="11"/>
      <c r="K103" s="11" t="str">
        <f>IFERROR(__xludf.DUMMYFUNCTION("""COMPUTED_VALUE"""),"Aero components mounted and integrated")</f>
        <v>Aero components mounted and integrated</v>
      </c>
      <c r="L103" s="11" t="str">
        <f>IFERROR(__xludf.DUMMYFUNCTION("""COMPUTED_VALUE"""),"Milestone/completion activity")</f>
        <v>Milestone/completion activity</v>
      </c>
      <c r="M103" s="11" t="str">
        <f>IFERROR(__xludf.DUMMYFUNCTION("""COMPUTED_VALUE"""),"A01 - Aerodynamics")</f>
        <v>A01 - Aerodynamics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 t="str">
        <f>IFERROR(__xludf.DUMMYFUNCTION("""COMPUTED_VALUE"""),"AE_A01_T002")</f>
        <v>AE_A01_T002</v>
      </c>
      <c r="B104" s="11" t="str">
        <f>IFERROR(__xludf.DUMMYFUNCTION("""COMPUTED_VALUE"""),"Manufacture Aero, Pt 1")</f>
        <v>Manufacture Aero, Pt 1</v>
      </c>
      <c r="C104" s="11" t="str">
        <f>IFERROR(__xludf.DUMMYFUNCTION("""COMPUTED_VALUE"""),"Aerodynamics")</f>
        <v>Aerodynamics</v>
      </c>
      <c r="D104" s="20"/>
      <c r="E104" s="20"/>
      <c r="F104" s="11"/>
      <c r="G104" s="11"/>
      <c r="H104" s="11" t="str">
        <f>IFERROR(__xludf.DUMMYFUNCTION("""COMPUTED_VALUE"""),"Kathryn Ainley-Zoll")</f>
        <v>Kathryn Ainley-Zoll</v>
      </c>
      <c r="I104" s="11" t="str">
        <f>IFERROR(__xludf.DUMMYFUNCTION("""COMPUTED_VALUE"""),"High")</f>
        <v>High</v>
      </c>
      <c r="J104" s="11"/>
      <c r="K104" s="11" t="str">
        <f>IFERROR(__xludf.DUMMYFUNCTION("""COMPUTED_VALUE"""),"Manufactured aerodynamic components")</f>
        <v>Manufactured aerodynamic components</v>
      </c>
      <c r="L104" s="11"/>
      <c r="M104" s="11" t="str">
        <f>IFERROR(__xludf.DUMMYFUNCTION("""COMPUTED_VALUE"""),"A01 - Aerodynamics")</f>
        <v>A01 - Aerodynamics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 t="str">
        <f>IFERROR(__xludf.DUMMYFUNCTION("""COMPUTED_VALUE"""),"AE_A01_T003")</f>
        <v>AE_A01_T003</v>
      </c>
      <c r="B105" s="11" t="str">
        <f>IFERROR(__xludf.DUMMYFUNCTION("""COMPUTED_VALUE"""),"Finalize Aero Targets")</f>
        <v>Finalize Aero Targets</v>
      </c>
      <c r="C105" s="11" t="str">
        <f>IFERROR(__xludf.DUMMYFUNCTION("""COMPUTED_VALUE"""),"Aerodynamics")</f>
        <v>Aerodynamics</v>
      </c>
      <c r="D105" s="20">
        <f>IFERROR(__xludf.DUMMYFUNCTION("""COMPUTED_VALUE"""),46235.0)</f>
        <v>46235</v>
      </c>
      <c r="E105" s="20">
        <f>IFERROR(__xludf.DUMMYFUNCTION("""COMPUTED_VALUE"""),46244.0)</f>
        <v>46244</v>
      </c>
      <c r="F105" s="11" t="str">
        <f>IFERROR(__xludf.DUMMYFUNCTION("""COMPUTED_VALUE"""),"In Progress")</f>
        <v>In Progress</v>
      </c>
      <c r="G105" s="11"/>
      <c r="H105" s="11" t="str">
        <f>IFERROR(__xludf.DUMMYFUNCTION("""COMPUTED_VALUE"""),"Kathryn Ainley-Zoll")</f>
        <v>Kathryn Ainley-Zoll</v>
      </c>
      <c r="I105" s="11" t="str">
        <f>IFERROR(__xludf.DUMMYFUNCTION("""COMPUTED_VALUE"""),"High")</f>
        <v>High</v>
      </c>
      <c r="J105" s="11"/>
      <c r="K105" s="11" t="str">
        <f>IFERROR(__xludf.DUMMYFUNCTION("""COMPUTED_VALUE"""),"Finalized aerodynamic targets")</f>
        <v>Finalized aerodynamic targets</v>
      </c>
      <c r="L105" s="11"/>
      <c r="M105" s="11" t="str">
        <f>IFERROR(__xludf.DUMMYFUNCTION("""COMPUTED_VALUE"""),"A01 - Aerodynamics")</f>
        <v>A01 - Aerodynamics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 t="str">
        <f>IFERROR(__xludf.DUMMYFUNCTION("""COMPUTED_VALUE"""),"AE_A01_T004")</f>
        <v>AE_A01_T004</v>
      </c>
      <c r="B106" s="11" t="str">
        <f>IFERROR(__xludf.DUMMYFUNCTION("""COMPUTED_VALUE"""),"Post PDR Alum Outreach")</f>
        <v>Post PDR Alum Outreach</v>
      </c>
      <c r="C106" s="11" t="str">
        <f>IFERROR(__xludf.DUMMYFUNCTION("""COMPUTED_VALUE"""),"Aerodynamics")</f>
        <v>Aerodynamics</v>
      </c>
      <c r="D106" s="20">
        <f>IFERROR(__xludf.DUMMYFUNCTION("""COMPUTED_VALUE"""),46293.0)</f>
        <v>46293</v>
      </c>
      <c r="E106" s="20">
        <f>IFERROR(__xludf.DUMMYFUNCTION("""COMPUTED_VALUE"""),46298.0)</f>
        <v>46298</v>
      </c>
      <c r="F106" s="11" t="str">
        <f>IFERROR(__xludf.DUMMYFUNCTION("""COMPUTED_VALUE"""),"Not Started")</f>
        <v>Not Started</v>
      </c>
      <c r="G106" s="11"/>
      <c r="H106" s="11" t="str">
        <f>IFERROR(__xludf.DUMMYFUNCTION("""COMPUTED_VALUE"""),"Kathryn Ainley-Zoll")</f>
        <v>Kathryn Ainley-Zoll</v>
      </c>
      <c r="I106" s="11" t="str">
        <f>IFERROR(__xludf.DUMMYFUNCTION("""COMPUTED_VALUE"""),"Medium")</f>
        <v>Medium</v>
      </c>
      <c r="J106" s="11"/>
      <c r="K106" s="11" t="str">
        <f>IFERROR(__xludf.DUMMYFUNCTION("""COMPUTED_VALUE"""),"Alumni outreach completed")</f>
        <v>Alumni outreach completed</v>
      </c>
      <c r="L106" s="11"/>
      <c r="M106" s="11" t="str">
        <f>IFERROR(__xludf.DUMMYFUNCTION("""COMPUTED_VALUE"""),"A01 - Aerodynamics")</f>
        <v>A01 - Aerodynamics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 t="str">
        <f>IFERROR(__xludf.DUMMYFUNCTION("""COMPUTED_VALUE"""),"AE_A01_T005")</f>
        <v>AE_A01_T005</v>
      </c>
      <c r="B107" s="11" t="str">
        <f>IFERROR(__xludf.DUMMYFUNCTION("""COMPUTED_VALUE"""),"Surface Modeling Training")</f>
        <v>Surface Modeling Training</v>
      </c>
      <c r="C107" s="11" t="str">
        <f>IFERROR(__xludf.DUMMYFUNCTION("""COMPUTED_VALUE"""),"Aerodynamics")</f>
        <v>Aerodynamics</v>
      </c>
      <c r="D107" s="20">
        <f>IFERROR(__xludf.DUMMYFUNCTION("""COMPUTED_VALUE"""),46258.0)</f>
        <v>46258</v>
      </c>
      <c r="E107" s="20">
        <f>IFERROR(__xludf.DUMMYFUNCTION("""COMPUTED_VALUE"""),46262.0)</f>
        <v>46262</v>
      </c>
      <c r="F107" s="11" t="str">
        <f>IFERROR(__xludf.DUMMYFUNCTION("""COMPUTED_VALUE"""),"Complete")</f>
        <v>Complete</v>
      </c>
      <c r="G107" s="11"/>
      <c r="H107" s="11" t="str">
        <f>IFERROR(__xludf.DUMMYFUNCTION("""COMPUTED_VALUE"""),"Kathryn Ainley-Zoll")</f>
        <v>Kathryn Ainley-Zoll</v>
      </c>
      <c r="I107" s="11" t="str">
        <f>IFERROR(__xludf.DUMMYFUNCTION("""COMPUTED_VALUE"""),"Medium")</f>
        <v>Medium</v>
      </c>
      <c r="J107" s="11"/>
      <c r="K107" s="11" t="str">
        <f>IFERROR(__xludf.DUMMYFUNCTION("""COMPUTED_VALUE"""),"Completed surface modeling training")</f>
        <v>Completed surface modeling training</v>
      </c>
      <c r="L107" s="11"/>
      <c r="M107" s="11" t="str">
        <f>IFERROR(__xludf.DUMMYFUNCTION("""COMPUTED_VALUE"""),"A01 - Aerodynamics")</f>
        <v>A01 - Aerodynamics</v>
      </c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 t="str">
        <f>IFERROR(__xludf.DUMMYFUNCTION("""COMPUTED_VALUE"""),"AE_A01_T006")</f>
        <v>AE_A01_T006</v>
      </c>
      <c r="B108" s="11" t="str">
        <f>IFERROR(__xludf.DUMMYFUNCTION("""COMPUTED_VALUE"""),"Mounting Finalized")</f>
        <v>Mounting Finalized</v>
      </c>
      <c r="C108" s="11" t="str">
        <f>IFERROR(__xludf.DUMMYFUNCTION("""COMPUTED_VALUE"""),"Aerodynamics")</f>
        <v>Aerodynamics</v>
      </c>
      <c r="D108" s="20">
        <f>IFERROR(__xludf.DUMMYFUNCTION("""COMPUTED_VALUE"""),46235.0)</f>
        <v>46235</v>
      </c>
      <c r="E108" s="20">
        <f>IFERROR(__xludf.DUMMYFUNCTION("""COMPUTED_VALUE"""),46293.0)</f>
        <v>46293</v>
      </c>
      <c r="F108" s="11" t="str">
        <f>IFERROR(__xludf.DUMMYFUNCTION("""COMPUTED_VALUE"""),"Not Started")</f>
        <v>Not Started</v>
      </c>
      <c r="G108" s="11"/>
      <c r="H108" s="11" t="str">
        <f>IFERROR(__xludf.DUMMYFUNCTION("""COMPUTED_VALUE"""),"Kathryn Ainley-Zoll")</f>
        <v>Kathryn Ainley-Zoll</v>
      </c>
      <c r="I108" s="11" t="str">
        <f>IFERROR(__xludf.DUMMYFUNCTION("""COMPUTED_VALUE"""),"High")</f>
        <v>High</v>
      </c>
      <c r="J108" s="11"/>
      <c r="K108" s="11" t="str">
        <f>IFERROR(__xludf.DUMMYFUNCTION("""COMPUTED_VALUE"""),"Finalized mounting design")</f>
        <v>Finalized mounting design</v>
      </c>
      <c r="L108" s="11"/>
      <c r="M108" s="11" t="str">
        <f>IFERROR(__xludf.DUMMYFUNCTION("""COMPUTED_VALUE"""),"A01 - Aerodynamics")</f>
        <v>A01 - Aerodynamics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 t="str">
        <f>IFERROR(__xludf.DUMMYFUNCTION("""COMPUTED_VALUE"""),"AE_A01_T007")</f>
        <v>AE_A01_T007</v>
      </c>
      <c r="B109" s="11" t="str">
        <f>IFERROR(__xludf.DUMMYFUNCTION("""COMPUTED_VALUE"""),"Mounting Manufactured")</f>
        <v>Mounting Manufactured</v>
      </c>
      <c r="C109" s="11" t="str">
        <f>IFERROR(__xludf.DUMMYFUNCTION("""COMPUTED_VALUE"""),"Aerodynamics")</f>
        <v>Aerodynamics</v>
      </c>
      <c r="D109" s="20">
        <f>IFERROR(__xludf.DUMMYFUNCTION("""COMPUTED_VALUE"""),46327.0)</f>
        <v>46327</v>
      </c>
      <c r="E109" s="20">
        <f>IFERROR(__xludf.DUMMYFUNCTION("""COMPUTED_VALUE"""),46356.0)</f>
        <v>46356</v>
      </c>
      <c r="F109" s="11" t="str">
        <f>IFERROR(__xludf.DUMMYFUNCTION("""COMPUTED_VALUE"""),"Not Started")</f>
        <v>Not Started</v>
      </c>
      <c r="G109" s="11"/>
      <c r="H109" s="11" t="str">
        <f>IFERROR(__xludf.DUMMYFUNCTION("""COMPUTED_VALUE"""),"Kathryn Ainley-Zoll")</f>
        <v>Kathryn Ainley-Zoll</v>
      </c>
      <c r="I109" s="11" t="str">
        <f>IFERROR(__xludf.DUMMYFUNCTION("""COMPUTED_VALUE"""),"High")</f>
        <v>High</v>
      </c>
      <c r="J109" s="11"/>
      <c r="K109" s="11" t="str">
        <f>IFERROR(__xludf.DUMMYFUNCTION("""COMPUTED_VALUE"""),"Manufactured mounting hardware")</f>
        <v>Manufactured mounting hardware</v>
      </c>
      <c r="L109" s="11"/>
      <c r="M109" s="11" t="str">
        <f>IFERROR(__xludf.DUMMYFUNCTION("""COMPUTED_VALUE"""),"A01 - Aerodynamics")</f>
        <v>A01 - Aerodynamics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 t="str">
        <f>IFERROR(__xludf.DUMMYFUNCTION("""COMPUTED_VALUE"""),"AE_A01_T008")</f>
        <v>AE_A01_T008</v>
      </c>
      <c r="B110" s="11" t="str">
        <f>IFERROR(__xludf.DUMMYFUNCTION("""COMPUTED_VALUE"""),"On-Car Testing")</f>
        <v>On-Car Testing</v>
      </c>
      <c r="C110" s="11" t="str">
        <f>IFERROR(__xludf.DUMMYFUNCTION("""COMPUTED_VALUE"""),"Aerodynamics")</f>
        <v>Aerodynamics</v>
      </c>
      <c r="D110" s="20">
        <f>IFERROR(__xludf.DUMMYFUNCTION("""COMPUTED_VALUE"""),46388.0)</f>
        <v>46388</v>
      </c>
      <c r="E110" s="20">
        <f>IFERROR(__xludf.DUMMYFUNCTION("""COMPUTED_VALUE"""),46508.0)</f>
        <v>46508</v>
      </c>
      <c r="F110" s="11" t="str">
        <f>IFERROR(__xludf.DUMMYFUNCTION("""COMPUTED_VALUE"""),"Not Started")</f>
        <v>Not Started</v>
      </c>
      <c r="G110" s="11"/>
      <c r="H110" s="11" t="str">
        <f>IFERROR(__xludf.DUMMYFUNCTION("""COMPUTED_VALUE"""),"Kathryn Ainley-Zoll")</f>
        <v>Kathryn Ainley-Zoll</v>
      </c>
      <c r="I110" s="11" t="str">
        <f>IFERROR(__xludf.DUMMYFUNCTION("""COMPUTED_VALUE"""),"High")</f>
        <v>High</v>
      </c>
      <c r="J110" s="11"/>
      <c r="K110" s="11" t="str">
        <f>IFERROR(__xludf.DUMMYFUNCTION("""COMPUTED_VALUE"""),"On-car aero testing results")</f>
        <v>On-car aero testing results</v>
      </c>
      <c r="L110" s="11"/>
      <c r="M110" s="11" t="str">
        <f>IFERROR(__xludf.DUMMYFUNCTION("""COMPUTED_VALUE"""),"A01 - Aerodynamics")</f>
        <v>A01 - Aerodynamics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 t="str">
        <f>IFERROR(__xludf.DUMMYFUNCTION("""COMPUTED_VALUE"""),"AE_A01_T009")</f>
        <v>AE_A01_T009</v>
      </c>
      <c r="B111" s="11" t="str">
        <f>IFERROR(__xludf.DUMMYFUNCTION("""COMPUTED_VALUE"""),"CFD Analysis Training")</f>
        <v>CFD Analysis Training</v>
      </c>
      <c r="C111" s="11" t="str">
        <f>IFERROR(__xludf.DUMMYFUNCTION("""COMPUTED_VALUE"""),"Aerodynamics")</f>
        <v>Aerodynamics</v>
      </c>
      <c r="D111" s="20">
        <f>IFERROR(__xludf.DUMMYFUNCTION("""COMPUTED_VALUE"""),46265.0)</f>
        <v>46265</v>
      </c>
      <c r="E111" s="20">
        <f>IFERROR(__xludf.DUMMYFUNCTION("""COMPUTED_VALUE"""),46269.0)</f>
        <v>46269</v>
      </c>
      <c r="F111" s="11" t="str">
        <f>IFERROR(__xludf.DUMMYFUNCTION("""COMPUTED_VALUE"""),"In Progress")</f>
        <v>In Progress</v>
      </c>
      <c r="G111" s="11"/>
      <c r="H111" s="11" t="str">
        <f>IFERROR(__xludf.DUMMYFUNCTION("""COMPUTED_VALUE"""),"Kathryn Ainley-Zoll")</f>
        <v>Kathryn Ainley-Zoll</v>
      </c>
      <c r="I111" s="11" t="str">
        <f>IFERROR(__xludf.DUMMYFUNCTION("""COMPUTED_VALUE"""),"High")</f>
        <v>High</v>
      </c>
      <c r="J111" s="11"/>
      <c r="K111" s="11" t="str">
        <f>IFERROR(__xludf.DUMMYFUNCTION("""COMPUTED_VALUE"""),"Completed training")</f>
        <v>Completed training</v>
      </c>
      <c r="L111" s="11"/>
      <c r="M111" s="11" t="str">
        <f>IFERROR(__xludf.DUMMYFUNCTION("""COMPUTED_VALUE"""),"A01 - Aerodynamics")</f>
        <v>A01 - Aerodynamics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 t="str">
        <f>IFERROR(__xludf.DUMMYFUNCTION("""COMPUTED_VALUE"""),"AE_A02_T001")</f>
        <v>AE_A02_T001</v>
      </c>
      <c r="B112" s="11" t="str">
        <f>IFERROR(__xludf.DUMMYFUNCTION("""COMPUTED_VALUE"""),"Airfoils selected for wings")</f>
        <v>Airfoils selected for wings</v>
      </c>
      <c r="C112" s="11" t="str">
        <f>IFERROR(__xludf.DUMMYFUNCTION("""COMPUTED_VALUE"""),"Aerodynamics")</f>
        <v>Aerodynamics</v>
      </c>
      <c r="D112" s="20">
        <f>IFERROR(__xludf.DUMMYFUNCTION("""COMPUTED_VALUE"""),46293.0)</f>
        <v>46293</v>
      </c>
      <c r="E112" s="20">
        <f>IFERROR(__xludf.DUMMYFUNCTION("""COMPUTED_VALUE"""),46294.0)</f>
        <v>46294</v>
      </c>
      <c r="F112" s="11" t="str">
        <f>IFERROR(__xludf.DUMMYFUNCTION("""COMPUTED_VALUE"""),"Not Started")</f>
        <v>Not Started</v>
      </c>
      <c r="G112" s="11"/>
      <c r="H112" s="11" t="str">
        <f>IFERROR(__xludf.DUMMYFUNCTION("""COMPUTED_VALUE"""),"Lilly Varon")</f>
        <v>Lilly Varon</v>
      </c>
      <c r="I112" s="11" t="str">
        <f>IFERROR(__xludf.DUMMYFUNCTION("""COMPUTED_VALUE"""),"High")</f>
        <v>High</v>
      </c>
      <c r="J112" s="11"/>
      <c r="K112" s="11" t="str">
        <f>IFERROR(__xludf.DUMMYFUNCTION("""COMPUTED_VALUE"""),"Final airfoil selection")</f>
        <v>Final airfoil selection</v>
      </c>
      <c r="L112" s="11"/>
      <c r="M112" s="11" t="str">
        <f>IFERROR(__xludf.DUMMYFUNCTION("""COMPUTED_VALUE"""),"A02 - Front Wing")</f>
        <v>A02 - Front Wing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 t="str">
        <f>IFERROR(__xludf.DUMMYFUNCTION("""COMPUTED_VALUE"""),"AE_A02_T002")</f>
        <v>AE_A02_T002</v>
      </c>
      <c r="B113" s="11" t="str">
        <f>IFERROR(__xludf.DUMMYFUNCTION("""COMPUTED_VALUE"""),"Tooling for Wings and UT Made")</f>
        <v>Tooling for Wings and UT Made</v>
      </c>
      <c r="C113" s="11" t="str">
        <f>IFERROR(__xludf.DUMMYFUNCTION("""COMPUTED_VALUE"""),"Aerodynamics")</f>
        <v>Aerodynamics</v>
      </c>
      <c r="D113" s="20">
        <f>IFERROR(__xludf.DUMMYFUNCTION("""COMPUTED_VALUE"""),46327.0)</f>
        <v>46327</v>
      </c>
      <c r="E113" s="20">
        <f>IFERROR(__xludf.DUMMYFUNCTION("""COMPUTED_VALUE"""),46340.0)</f>
        <v>46340</v>
      </c>
      <c r="F113" s="11" t="str">
        <f>IFERROR(__xludf.DUMMYFUNCTION("""COMPUTED_VALUE"""),"Not Started")</f>
        <v>Not Started</v>
      </c>
      <c r="G113" s="11"/>
      <c r="H113" s="11" t="str">
        <f>IFERROR(__xludf.DUMMYFUNCTION("""COMPUTED_VALUE"""),"Lilly Varon")</f>
        <v>Lilly Varon</v>
      </c>
      <c r="I113" s="11" t="str">
        <f>IFERROR(__xludf.DUMMYFUNCTION("""COMPUTED_VALUE"""),"High")</f>
        <v>High</v>
      </c>
      <c r="J113" s="11"/>
      <c r="K113" s="11" t="str">
        <f>IFERROR(__xludf.DUMMYFUNCTION("""COMPUTED_VALUE"""),"Wing and undertray tooling")</f>
        <v>Wing and undertray tooling</v>
      </c>
      <c r="L113" s="11"/>
      <c r="M113" s="11" t="str">
        <f>IFERROR(__xludf.DUMMYFUNCTION("""COMPUTED_VALUE"""),"A02 - Front Wing")</f>
        <v>A02 - Front Wing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 t="str">
        <f>IFERROR(__xludf.DUMMYFUNCTION("""COMPUTED_VALUE"""),"AE_A02_T003")</f>
        <v>AE_A02_T003</v>
      </c>
      <c r="B114" s="11" t="str">
        <f>IFERROR(__xludf.DUMMYFUNCTION("""COMPUTED_VALUE"""),"Manufacturing for Wings and UT")</f>
        <v>Manufacturing for Wings and UT</v>
      </c>
      <c r="C114" s="11" t="str">
        <f>IFERROR(__xludf.DUMMYFUNCTION("""COMPUTED_VALUE"""),"Aerodynamics")</f>
        <v>Aerodynamics</v>
      </c>
      <c r="D114" s="20">
        <f>IFERROR(__xludf.DUMMYFUNCTION("""COMPUTED_VALUE"""),46388.0)</f>
        <v>46388</v>
      </c>
      <c r="E114" s="20">
        <f>IFERROR(__xludf.DUMMYFUNCTION("""COMPUTED_VALUE"""),46419.0)</f>
        <v>46419</v>
      </c>
      <c r="F114" s="11" t="str">
        <f>IFERROR(__xludf.DUMMYFUNCTION("""COMPUTED_VALUE"""),"Not Started")</f>
        <v>Not Started</v>
      </c>
      <c r="G114" s="11"/>
      <c r="H114" s="11" t="str">
        <f>IFERROR(__xludf.DUMMYFUNCTION("""COMPUTED_VALUE"""),"Lilly Varon")</f>
        <v>Lilly Varon</v>
      </c>
      <c r="I114" s="11" t="str">
        <f>IFERROR(__xludf.DUMMYFUNCTION("""COMPUTED_VALUE"""),"High")</f>
        <v>High</v>
      </c>
      <c r="J114" s="11"/>
      <c r="K114" s="11" t="str">
        <f>IFERROR(__xludf.DUMMYFUNCTION("""COMPUTED_VALUE"""),"Manufactured wings and undertray")</f>
        <v>Manufactured wings and undertray</v>
      </c>
      <c r="L114" s="11"/>
      <c r="M114" s="11" t="str">
        <f>IFERROR(__xludf.DUMMYFUNCTION("""COMPUTED_VALUE"""),"A02 - Front Wing")</f>
        <v>A02 - Front Wing</v>
      </c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 t="str">
        <f>IFERROR(__xludf.DUMMYFUNCTION("""COMPUTED_VALUE"""),"AE_A03_T001")</f>
        <v>AE_A03_T001</v>
      </c>
      <c r="B115" s="11" t="str">
        <f>IFERROR(__xludf.DUMMYFUNCTION("""COMPUTED_VALUE"""),"Airfoils selected for wings")</f>
        <v>Airfoils selected for wings</v>
      </c>
      <c r="C115" s="11" t="str">
        <f>IFERROR(__xludf.DUMMYFUNCTION("""COMPUTED_VALUE"""),"Aerodynamics")</f>
        <v>Aerodynamics</v>
      </c>
      <c r="D115" s="20">
        <f>IFERROR(__xludf.DUMMYFUNCTION("""COMPUTED_VALUE"""),46293.0)</f>
        <v>46293</v>
      </c>
      <c r="E115" s="20">
        <f>IFERROR(__xludf.DUMMYFUNCTION("""COMPUTED_VALUE"""),46294.0)</f>
        <v>46294</v>
      </c>
      <c r="F115" s="11" t="str">
        <f>IFERROR(__xludf.DUMMYFUNCTION("""COMPUTED_VALUE"""),"Not Started")</f>
        <v>Not Started</v>
      </c>
      <c r="G115" s="11"/>
      <c r="H115" s="11" t="str">
        <f>IFERROR(__xludf.DUMMYFUNCTION("""COMPUTED_VALUE"""),"Montserrat McCoy")</f>
        <v>Montserrat McCoy</v>
      </c>
      <c r="I115" s="11" t="str">
        <f>IFERROR(__xludf.DUMMYFUNCTION("""COMPUTED_VALUE"""),"High")</f>
        <v>High</v>
      </c>
      <c r="J115" s="11"/>
      <c r="K115" s="11" t="str">
        <f>IFERROR(__xludf.DUMMYFUNCTION("""COMPUTED_VALUE"""),"Final airfoil selection")</f>
        <v>Final airfoil selection</v>
      </c>
      <c r="L115" s="11"/>
      <c r="M115" s="11" t="str">
        <f>IFERROR(__xludf.DUMMYFUNCTION("""COMPUTED_VALUE"""),"A03 - Rear Wing")</f>
        <v>A03 - Rear Wing</v>
      </c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 t="str">
        <f>IFERROR(__xludf.DUMMYFUNCTION("""COMPUTED_VALUE"""),"AE_A03_T002")</f>
        <v>AE_A03_T002</v>
      </c>
      <c r="B116" s="11" t="str">
        <f>IFERROR(__xludf.DUMMYFUNCTION("""COMPUTED_VALUE"""),"Tooling for Wings and UT Made")</f>
        <v>Tooling for Wings and UT Made</v>
      </c>
      <c r="C116" s="11" t="str">
        <f>IFERROR(__xludf.DUMMYFUNCTION("""COMPUTED_VALUE"""),"Aerodynamics")</f>
        <v>Aerodynamics</v>
      </c>
      <c r="D116" s="20">
        <f>IFERROR(__xludf.DUMMYFUNCTION("""COMPUTED_VALUE"""),46327.0)</f>
        <v>46327</v>
      </c>
      <c r="E116" s="20">
        <f>IFERROR(__xludf.DUMMYFUNCTION("""COMPUTED_VALUE"""),46340.0)</f>
        <v>46340</v>
      </c>
      <c r="F116" s="11" t="str">
        <f>IFERROR(__xludf.DUMMYFUNCTION("""COMPUTED_VALUE"""),"Not Started")</f>
        <v>Not Started</v>
      </c>
      <c r="G116" s="11"/>
      <c r="H116" s="11" t="str">
        <f>IFERROR(__xludf.DUMMYFUNCTION("""COMPUTED_VALUE"""),"Montserrat McCoy")</f>
        <v>Montserrat McCoy</v>
      </c>
      <c r="I116" s="11" t="str">
        <f>IFERROR(__xludf.DUMMYFUNCTION("""COMPUTED_VALUE"""),"High")</f>
        <v>High</v>
      </c>
      <c r="J116" s="11"/>
      <c r="K116" s="11" t="str">
        <f>IFERROR(__xludf.DUMMYFUNCTION("""COMPUTED_VALUE"""),"Wing and undertray tooling")</f>
        <v>Wing and undertray tooling</v>
      </c>
      <c r="L116" s="11"/>
      <c r="M116" s="11" t="str">
        <f>IFERROR(__xludf.DUMMYFUNCTION("""COMPUTED_VALUE"""),"A03 - Rear Wing")</f>
        <v>A03 - Rear Wing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 t="str">
        <f>IFERROR(__xludf.DUMMYFUNCTION("""COMPUTED_VALUE"""),"AE_A03_T003")</f>
        <v>AE_A03_T003</v>
      </c>
      <c r="B117" s="11" t="str">
        <f>IFERROR(__xludf.DUMMYFUNCTION("""COMPUTED_VALUE"""),"Manufacturing for Wings and UT")</f>
        <v>Manufacturing for Wings and UT</v>
      </c>
      <c r="C117" s="11" t="str">
        <f>IFERROR(__xludf.DUMMYFUNCTION("""COMPUTED_VALUE"""),"Aerodynamics")</f>
        <v>Aerodynamics</v>
      </c>
      <c r="D117" s="20">
        <f>IFERROR(__xludf.DUMMYFUNCTION("""COMPUTED_VALUE"""),46388.0)</f>
        <v>46388</v>
      </c>
      <c r="E117" s="20">
        <f>IFERROR(__xludf.DUMMYFUNCTION("""COMPUTED_VALUE"""),46419.0)</f>
        <v>46419</v>
      </c>
      <c r="F117" s="11" t="str">
        <f>IFERROR(__xludf.DUMMYFUNCTION("""COMPUTED_VALUE"""),"Not Started")</f>
        <v>Not Started</v>
      </c>
      <c r="G117" s="11"/>
      <c r="H117" s="11" t="str">
        <f>IFERROR(__xludf.DUMMYFUNCTION("""COMPUTED_VALUE"""),"Montserrat McCoy")</f>
        <v>Montserrat McCoy</v>
      </c>
      <c r="I117" s="11" t="str">
        <f>IFERROR(__xludf.DUMMYFUNCTION("""COMPUTED_VALUE"""),"High")</f>
        <v>High</v>
      </c>
      <c r="J117" s="11"/>
      <c r="K117" s="11" t="str">
        <f>IFERROR(__xludf.DUMMYFUNCTION("""COMPUTED_VALUE"""),"Manufactured wings and undertray")</f>
        <v>Manufactured wings and undertray</v>
      </c>
      <c r="L117" s="11"/>
      <c r="M117" s="11" t="str">
        <f>IFERROR(__xludf.DUMMYFUNCTION("""COMPUTED_VALUE"""),"A03 - Rear Wing")</f>
        <v>A03 - Rear Wing</v>
      </c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 t="str">
        <f>IFERROR(__xludf.DUMMYFUNCTION("""COMPUTED_VALUE"""),"AE_A04_T001")</f>
        <v>AE_A04_T001</v>
      </c>
      <c r="B118" s="11" t="str">
        <f>IFERROR(__xludf.DUMMYFUNCTION("""COMPUTED_VALUE"""),"Tooling for Wings and UT Made")</f>
        <v>Tooling for Wings and UT Made</v>
      </c>
      <c r="C118" s="11" t="str">
        <f>IFERROR(__xludf.DUMMYFUNCTION("""COMPUTED_VALUE"""),"Aerodynamics")</f>
        <v>Aerodynamics</v>
      </c>
      <c r="D118" s="20">
        <f>IFERROR(__xludf.DUMMYFUNCTION("""COMPUTED_VALUE"""),46327.0)</f>
        <v>46327</v>
      </c>
      <c r="E118" s="20">
        <f>IFERROR(__xludf.DUMMYFUNCTION("""COMPUTED_VALUE"""),46340.0)</f>
        <v>46340</v>
      </c>
      <c r="F118" s="11" t="str">
        <f>IFERROR(__xludf.DUMMYFUNCTION("""COMPUTED_VALUE"""),"Not Started")</f>
        <v>Not Started</v>
      </c>
      <c r="G118" s="11"/>
      <c r="H118" s="11" t="str">
        <f>IFERROR(__xludf.DUMMYFUNCTION("""COMPUTED_VALUE"""),"Aidan Moller")</f>
        <v>Aidan Moller</v>
      </c>
      <c r="I118" s="11" t="str">
        <f>IFERROR(__xludf.DUMMYFUNCTION("""COMPUTED_VALUE"""),"High")</f>
        <v>High</v>
      </c>
      <c r="J118" s="11"/>
      <c r="K118" s="11" t="str">
        <f>IFERROR(__xludf.DUMMYFUNCTION("""COMPUTED_VALUE"""),"Wing and undertray tooling")</f>
        <v>Wing and undertray tooling</v>
      </c>
      <c r="L118" s="11"/>
      <c r="M118" s="11" t="str">
        <f>IFERROR(__xludf.DUMMYFUNCTION("""COMPUTED_VALUE"""),"A04 - Undertray")</f>
        <v>A04 - Undertray</v>
      </c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 t="str">
        <f>IFERROR(__xludf.DUMMYFUNCTION("""COMPUTED_VALUE"""),"AE_A04_T002")</f>
        <v>AE_A04_T002</v>
      </c>
      <c r="B119" s="11" t="str">
        <f>IFERROR(__xludf.DUMMYFUNCTION("""COMPUTED_VALUE"""),"Manufacturing for Wings and UT")</f>
        <v>Manufacturing for Wings and UT</v>
      </c>
      <c r="C119" s="11" t="str">
        <f>IFERROR(__xludf.DUMMYFUNCTION("""COMPUTED_VALUE"""),"Aerodynamics")</f>
        <v>Aerodynamics</v>
      </c>
      <c r="D119" s="20">
        <f>IFERROR(__xludf.DUMMYFUNCTION("""COMPUTED_VALUE"""),46388.0)</f>
        <v>46388</v>
      </c>
      <c r="E119" s="20">
        <f>IFERROR(__xludf.DUMMYFUNCTION("""COMPUTED_VALUE"""),46419.0)</f>
        <v>46419</v>
      </c>
      <c r="F119" s="11" t="str">
        <f>IFERROR(__xludf.DUMMYFUNCTION("""COMPUTED_VALUE"""),"Not Started")</f>
        <v>Not Started</v>
      </c>
      <c r="G119" s="11"/>
      <c r="H119" s="11" t="str">
        <f>IFERROR(__xludf.DUMMYFUNCTION("""COMPUTED_VALUE"""),"Aidan Moller")</f>
        <v>Aidan Moller</v>
      </c>
      <c r="I119" s="11" t="str">
        <f>IFERROR(__xludf.DUMMYFUNCTION("""COMPUTED_VALUE"""),"High")</f>
        <v>High</v>
      </c>
      <c r="J119" s="11"/>
      <c r="K119" s="11" t="str">
        <f>IFERROR(__xludf.DUMMYFUNCTION("""COMPUTED_VALUE"""),"Manufactured wings and undertray")</f>
        <v>Manufactured wings and undertray</v>
      </c>
      <c r="L119" s="11"/>
      <c r="M119" s="11" t="str">
        <f>IFERROR(__xludf.DUMMYFUNCTION("""COMPUTED_VALUE"""),"A04 - Undertray")</f>
        <v>A04 - Undertray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 t="str">
        <f>IFERROR(__xludf.DUMMYFUNCTION("""COMPUTED_VALUE"""),"AE_A05_T001")</f>
        <v>AE_A05_T001</v>
      </c>
      <c r="B120" s="11" t="str">
        <f>IFERROR(__xludf.DUMMYFUNCTION("""COMPUTED_VALUE"""),"Plugs for Nosecone and Sidepods Made")</f>
        <v>Plugs for Nosecone and Sidepods Made</v>
      </c>
      <c r="C120" s="11" t="str">
        <f>IFERROR(__xludf.DUMMYFUNCTION("""COMPUTED_VALUE"""),"Aerodynamics")</f>
        <v>Aerodynamics</v>
      </c>
      <c r="D120" s="20">
        <f>IFERROR(__xludf.DUMMYFUNCTION("""COMPUTED_VALUE"""),46311.0)</f>
        <v>46311</v>
      </c>
      <c r="E120" s="20">
        <f>IFERROR(__xludf.DUMMYFUNCTION("""COMPUTED_VALUE"""),46319.0)</f>
        <v>46319</v>
      </c>
      <c r="F120" s="11" t="str">
        <f>IFERROR(__xludf.DUMMYFUNCTION("""COMPUTED_VALUE"""),"Not Started")</f>
        <v>Not Started</v>
      </c>
      <c r="G120" s="11"/>
      <c r="H120" s="11" t="str">
        <f>IFERROR(__xludf.DUMMYFUNCTION("""COMPUTED_VALUE"""),"Junseok Kang")</f>
        <v>Junseok Kang</v>
      </c>
      <c r="I120" s="11" t="str">
        <f>IFERROR(__xludf.DUMMYFUNCTION("""COMPUTED_VALUE"""),"High")</f>
        <v>High</v>
      </c>
      <c r="J120" s="11"/>
      <c r="K120" s="11" t="str">
        <f>IFERROR(__xludf.DUMMYFUNCTION("""COMPUTED_VALUE"""),"Nosecone and sidepod plugs")</f>
        <v>Nosecone and sidepod plugs</v>
      </c>
      <c r="L120" s="11"/>
      <c r="M120" s="11" t="str">
        <f>IFERROR(__xludf.DUMMYFUNCTION("""COMPUTED_VALUE"""),"A05 - Auxiliary Elements")</f>
        <v>A05 - Auxiliary Elements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 t="str">
        <f>IFERROR(__xludf.DUMMYFUNCTION("""COMPUTED_VALUE"""),"AE_A05_T002")</f>
        <v>AE_A05_T002</v>
      </c>
      <c r="B121" s="11" t="str">
        <f>IFERROR(__xludf.DUMMYFUNCTION("""COMPUTED_VALUE"""),"Manufacturing for Nosecone and Sidepod")</f>
        <v>Manufacturing for Nosecone and Sidepod</v>
      </c>
      <c r="C121" s="11" t="str">
        <f>IFERROR(__xludf.DUMMYFUNCTION("""COMPUTED_VALUE"""),"Aerodynamics")</f>
        <v>Aerodynamics</v>
      </c>
      <c r="D121" s="20">
        <f>IFERROR(__xludf.DUMMYFUNCTION("""COMPUTED_VALUE"""),46319.0)</f>
        <v>46319</v>
      </c>
      <c r="E121" s="20">
        <f>IFERROR(__xludf.DUMMYFUNCTION("""COMPUTED_VALUE"""),46447.0)</f>
        <v>46447</v>
      </c>
      <c r="F121" s="11" t="str">
        <f>IFERROR(__xludf.DUMMYFUNCTION("""COMPUTED_VALUE"""),"Not Started")</f>
        <v>Not Started</v>
      </c>
      <c r="G121" s="11"/>
      <c r="H121" s="11" t="str">
        <f>IFERROR(__xludf.DUMMYFUNCTION("""COMPUTED_VALUE"""),"Junseok Kang")</f>
        <v>Junseok Kang</v>
      </c>
      <c r="I121" s="11" t="str">
        <f>IFERROR(__xludf.DUMMYFUNCTION("""COMPUTED_VALUE"""),"High")</f>
        <v>High</v>
      </c>
      <c r="J121" s="11"/>
      <c r="K121" s="11" t="str">
        <f>IFERROR(__xludf.DUMMYFUNCTION("""COMPUTED_VALUE"""),"Manufactured nosecone and sidepod")</f>
        <v>Manufactured nosecone and sidepod</v>
      </c>
      <c r="L121" s="11"/>
      <c r="M121" s="11" t="str">
        <f>IFERROR(__xludf.DUMMYFUNCTION("""COMPUTED_VALUE"""),"A05 - Auxiliary Elements")</f>
        <v>A05 - Auxiliary Elements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 t="str">
        <f>IFERROR(__xludf.DUMMYFUNCTION("""COMPUTED_VALUE"""),"AE_A06_T001")</f>
        <v>AE_A06_T001</v>
      </c>
      <c r="B122" s="11" t="str">
        <f>IFERROR(__xludf.DUMMYFUNCTION("""COMPUTED_VALUE"""),"Plugs for Nosecone and Sidepods Made")</f>
        <v>Plugs for Nosecone and Sidepods Made</v>
      </c>
      <c r="C122" s="11" t="str">
        <f>IFERROR(__xludf.DUMMYFUNCTION("""COMPUTED_VALUE"""),"Aerodynamics")</f>
        <v>Aerodynamics</v>
      </c>
      <c r="D122" s="20">
        <f>IFERROR(__xludf.DUMMYFUNCTION("""COMPUTED_VALUE"""),46311.0)</f>
        <v>46311</v>
      </c>
      <c r="E122" s="20">
        <f>IFERROR(__xludf.DUMMYFUNCTION("""COMPUTED_VALUE"""),46319.0)</f>
        <v>46319</v>
      </c>
      <c r="F122" s="11" t="str">
        <f>IFERROR(__xludf.DUMMYFUNCTION("""COMPUTED_VALUE"""),"Not Started")</f>
        <v>Not Started</v>
      </c>
      <c r="G122" s="11"/>
      <c r="H122" s="11" t="str">
        <f>IFERROR(__xludf.DUMMYFUNCTION("""COMPUTED_VALUE"""),"Ethan Gu")</f>
        <v>Ethan Gu</v>
      </c>
      <c r="I122" s="11" t="str">
        <f>IFERROR(__xludf.DUMMYFUNCTION("""COMPUTED_VALUE"""),"High")</f>
        <v>High</v>
      </c>
      <c r="J122" s="11"/>
      <c r="K122" s="11" t="str">
        <f>IFERROR(__xludf.DUMMYFUNCTION("""COMPUTED_VALUE"""),"Nosecone and sidepod plugs")</f>
        <v>Nosecone and sidepod plugs</v>
      </c>
      <c r="L122" s="11"/>
      <c r="M122" s="11" t="str">
        <f>IFERROR(__xludf.DUMMYFUNCTION("""COMPUTED_VALUE"""),"A06 - Sidepod")</f>
        <v>A06 - Sidepod</v>
      </c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 t="str">
        <f>IFERROR(__xludf.DUMMYFUNCTION("""COMPUTED_VALUE"""),"AE_A06_T002")</f>
        <v>AE_A06_T002</v>
      </c>
      <c r="B123" s="11" t="str">
        <f>IFERROR(__xludf.DUMMYFUNCTION("""COMPUTED_VALUE"""),"Manufacturing for Nosecone and Sidepod")</f>
        <v>Manufacturing for Nosecone and Sidepod</v>
      </c>
      <c r="C123" s="11" t="str">
        <f>IFERROR(__xludf.DUMMYFUNCTION("""COMPUTED_VALUE"""),"Aerodynamics")</f>
        <v>Aerodynamics</v>
      </c>
      <c r="D123" s="20">
        <f>IFERROR(__xludf.DUMMYFUNCTION("""COMPUTED_VALUE"""),46319.0)</f>
        <v>46319</v>
      </c>
      <c r="E123" s="20">
        <f>IFERROR(__xludf.DUMMYFUNCTION("""COMPUTED_VALUE"""),46447.0)</f>
        <v>46447</v>
      </c>
      <c r="F123" s="11" t="str">
        <f>IFERROR(__xludf.DUMMYFUNCTION("""COMPUTED_VALUE"""),"Not Started")</f>
        <v>Not Started</v>
      </c>
      <c r="G123" s="11"/>
      <c r="H123" s="11" t="str">
        <f>IFERROR(__xludf.DUMMYFUNCTION("""COMPUTED_VALUE"""),"Ethan Gu")</f>
        <v>Ethan Gu</v>
      </c>
      <c r="I123" s="11" t="str">
        <f>IFERROR(__xludf.DUMMYFUNCTION("""COMPUTED_VALUE"""),"High")</f>
        <v>High</v>
      </c>
      <c r="J123" s="11"/>
      <c r="K123" s="11" t="str">
        <f>IFERROR(__xludf.DUMMYFUNCTION("""COMPUTED_VALUE"""),"Manufactured nosecone and sidepod")</f>
        <v>Manufactured nosecone and sidepod</v>
      </c>
      <c r="L123" s="11"/>
      <c r="M123" s="11" t="str">
        <f>IFERROR(__xludf.DUMMYFUNCTION("""COMPUTED_VALUE"""),"A06 - Sidepod")</f>
        <v>A06 - Sidepod</v>
      </c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 t="str">
        <f>IFERROR(__xludf.DUMMYFUNCTION("""COMPUTED_VALUE"""),"AE_A07_T001")</f>
        <v>AE_A07_T001</v>
      </c>
      <c r="B124" s="11" t="str">
        <f>IFERROR(__xludf.DUMMYFUNCTION("""COMPUTED_VALUE"""),"Choose Radiatior Location Based on CFD")</f>
        <v>Choose Radiatior Location Based on CFD</v>
      </c>
      <c r="C124" s="11" t="str">
        <f>IFERROR(__xludf.DUMMYFUNCTION("""COMPUTED_VALUE"""),"Aerodynamics")</f>
        <v>Aerodynamics</v>
      </c>
      <c r="D124" s="20">
        <f>IFERROR(__xludf.DUMMYFUNCTION("""COMPUTED_VALUE"""),46258.0)</f>
        <v>46258</v>
      </c>
      <c r="E124" s="20">
        <f>IFERROR(__xludf.DUMMYFUNCTION("""COMPUTED_VALUE"""),46289.0)</f>
        <v>46289</v>
      </c>
      <c r="F124" s="11" t="str">
        <f>IFERROR(__xludf.DUMMYFUNCTION("""COMPUTED_VALUE"""),"Not Started")</f>
        <v>Not Started</v>
      </c>
      <c r="G124" s="11"/>
      <c r="H124" s="11" t="str">
        <f>IFERROR(__xludf.DUMMYFUNCTION("""COMPUTED_VALUE"""),"Helen Laird")</f>
        <v>Helen Laird</v>
      </c>
      <c r="I124" s="11" t="str">
        <f>IFERROR(__xludf.DUMMYFUNCTION("""COMPUTED_VALUE"""),"High")</f>
        <v>High</v>
      </c>
      <c r="J124" s="11"/>
      <c r="K124" s="11" t="str">
        <f>IFERROR(__xludf.DUMMYFUNCTION("""COMPUTED_VALUE"""),"Radiator location selected")</f>
        <v>Radiator location selected</v>
      </c>
      <c r="L124" s="11"/>
      <c r="M124" s="11" t="str">
        <f>IFERROR(__xludf.DUMMYFUNCTION("""COMPUTED_VALUE"""),"A07 - CFD")</f>
        <v>A07 - CFD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 t="str">
        <f>IFERROR(__xludf.DUMMYFUNCTION("""COMPUTED_VALUE"""),"ER_A01_T001")</f>
        <v>ER_A01_T001</v>
      </c>
      <c r="B125" s="11" t="str">
        <f>IFERROR(__xludf.DUMMYFUNCTION("""COMPUTED_VALUE"""),"Ergo mockup points identified")</f>
        <v>Ergo mockup points identified</v>
      </c>
      <c r="C125" s="11" t="str">
        <f>IFERROR(__xludf.DUMMYFUNCTION("""COMPUTED_VALUE"""),"Ergonomics")</f>
        <v>Ergonomics</v>
      </c>
      <c r="D125" s="20">
        <f>IFERROR(__xludf.DUMMYFUNCTION("""COMPUTED_VALUE"""),46272.0)</f>
        <v>46272</v>
      </c>
      <c r="E125" s="20">
        <f>IFERROR(__xludf.DUMMYFUNCTION("""COMPUTED_VALUE"""),46295.0)</f>
        <v>46295</v>
      </c>
      <c r="F125" s="11" t="str">
        <f>IFERROR(__xludf.DUMMYFUNCTION("""COMPUTED_VALUE"""),"Not Started")</f>
        <v>Not Started</v>
      </c>
      <c r="G125" s="11"/>
      <c r="H125" s="11" t="str">
        <f>IFERROR(__xludf.DUMMYFUNCTION("""COMPUTED_VALUE"""),"James King")</f>
        <v>James King</v>
      </c>
      <c r="I125" s="11" t="str">
        <f>IFERROR(__xludf.DUMMYFUNCTION("""COMPUTED_VALUE"""),"Critical")</f>
        <v>Critical</v>
      </c>
      <c r="J125" s="11"/>
      <c r="K125" s="11"/>
      <c r="L125" s="11"/>
      <c r="M125" s="11" t="str">
        <f>IFERROR(__xludf.DUMMYFUNCTION("""COMPUTED_VALUE"""),"A01 - Ergonomics")</f>
        <v>A01 - Ergonomics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 t="str">
        <f>IFERROR(__xludf.DUMMYFUNCTION("""COMPUTED_VALUE"""),"ER_A01_T002")</f>
        <v>ER_A01_T002</v>
      </c>
      <c r="B126" s="11" t="str">
        <f>IFERROR(__xludf.DUMMYFUNCTION("""COMPUTED_VALUE"""),"Gather Whole System Driver Load Data Points")</f>
        <v>Gather Whole System Driver Load Data Points</v>
      </c>
      <c r="C126" s="11" t="str">
        <f>IFERROR(__xludf.DUMMYFUNCTION("""COMPUTED_VALUE"""),"Ergonomics")</f>
        <v>Ergonomics</v>
      </c>
      <c r="D126" s="20">
        <f>IFERROR(__xludf.DUMMYFUNCTION("""COMPUTED_VALUE"""),46266.0)</f>
        <v>46266</v>
      </c>
      <c r="E126" s="20">
        <f>IFERROR(__xludf.DUMMYFUNCTION("""COMPUTED_VALUE"""),46277.0)</f>
        <v>46277</v>
      </c>
      <c r="F126" s="11" t="str">
        <f>IFERROR(__xludf.DUMMYFUNCTION("""COMPUTED_VALUE"""),"Not Started")</f>
        <v>Not Started</v>
      </c>
      <c r="G126" s="11"/>
      <c r="H126" s="11" t="str">
        <f>IFERROR(__xludf.DUMMYFUNCTION("""COMPUTED_VALUE"""),"James King")</f>
        <v>James King</v>
      </c>
      <c r="I126" s="11" t="str">
        <f>IFERROR(__xludf.DUMMYFUNCTION("""COMPUTED_VALUE"""),"High")</f>
        <v>High</v>
      </c>
      <c r="J126" s="11"/>
      <c r="K126" s="11"/>
      <c r="L126" s="11"/>
      <c r="M126" s="11" t="str">
        <f>IFERROR(__xludf.DUMMYFUNCTION("""COMPUTED_VALUE"""),"A01 - Ergonomics")</f>
        <v>A01 - Ergonomics</v>
      </c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 t="str">
        <f>IFERROR(__xludf.DUMMYFUNCTION("""COMPUTED_VALUE"""),"ER_A01_T003")</f>
        <v>ER_A01_T003</v>
      </c>
      <c r="B127" s="11" t="str">
        <f>IFERROR(__xludf.DUMMYFUNCTION("""COMPUTED_VALUE"""),"Put Linpots on ARG26")</f>
        <v>Put Linpots on ARG26</v>
      </c>
      <c r="C127" s="11" t="str">
        <f>IFERROR(__xludf.DUMMYFUNCTION("""COMPUTED_VALUE"""),"Ergonomics")</f>
        <v>Ergonomics</v>
      </c>
      <c r="D127" s="20">
        <f>IFERROR(__xludf.DUMMYFUNCTION("""COMPUTED_VALUE"""),46265.0)</f>
        <v>46265</v>
      </c>
      <c r="E127" s="20">
        <f>IFERROR(__xludf.DUMMYFUNCTION("""COMPUTED_VALUE"""),46265.0)</f>
        <v>46265</v>
      </c>
      <c r="F127" s="11" t="str">
        <f>IFERROR(__xludf.DUMMYFUNCTION("""COMPUTED_VALUE"""),"Planned")</f>
        <v>Planned</v>
      </c>
      <c r="G127" s="11"/>
      <c r="H127" s="11" t="str">
        <f>IFERROR(__xludf.DUMMYFUNCTION("""COMPUTED_VALUE"""),"James King")</f>
        <v>James King</v>
      </c>
      <c r="I127" s="11" t="str">
        <f>IFERROR(__xludf.DUMMYFUNCTION("""COMPUTED_VALUE"""),"High")</f>
        <v>High</v>
      </c>
      <c r="J127" s="11"/>
      <c r="K127" s="11"/>
      <c r="L127" s="11"/>
      <c r="M127" s="11" t="str">
        <f>IFERROR(__xludf.DUMMYFUNCTION("""COMPUTED_VALUE"""),"A01 - Ergonomics")</f>
        <v>A01 - Ergonomics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 t="str">
        <f>IFERROR(__xludf.DUMMYFUNCTION("""COMPUTED_VALUE"""),"ER_A01_T004")</f>
        <v>ER_A01_T004</v>
      </c>
      <c r="B128" s="11" t="str">
        <f>IFERROR(__xludf.DUMMYFUNCTION("""COMPUTED_VALUE"""),"Get Driver Max Loads")</f>
        <v>Get Driver Max Loads</v>
      </c>
      <c r="C128" s="11" t="str">
        <f>IFERROR(__xludf.DUMMYFUNCTION("""COMPUTED_VALUE"""),"Ergonomics")</f>
        <v>Ergonomics</v>
      </c>
      <c r="D128" s="20">
        <f>IFERROR(__xludf.DUMMYFUNCTION("""COMPUTED_VALUE"""),46265.0)</f>
        <v>46265</v>
      </c>
      <c r="E128" s="20">
        <f>IFERROR(__xludf.DUMMYFUNCTION("""COMPUTED_VALUE"""),46267.0)</f>
        <v>46267</v>
      </c>
      <c r="F128" s="11" t="str">
        <f>IFERROR(__xludf.DUMMYFUNCTION("""COMPUTED_VALUE"""),"Not Started")</f>
        <v>Not Started</v>
      </c>
      <c r="G128" s="11"/>
      <c r="H128" s="11" t="str">
        <f>IFERROR(__xludf.DUMMYFUNCTION("""COMPUTED_VALUE"""),"James King")</f>
        <v>James King</v>
      </c>
      <c r="I128" s="11" t="str">
        <f>IFERROR(__xludf.DUMMYFUNCTION("""COMPUTED_VALUE"""),"High")</f>
        <v>High</v>
      </c>
      <c r="J128" s="11"/>
      <c r="K128" s="11"/>
      <c r="L128" s="11"/>
      <c r="M128" s="11" t="str">
        <f>IFERROR(__xludf.DUMMYFUNCTION("""COMPUTED_VALUE"""),"A01 - Ergonomics")</f>
        <v>A01 - Ergonomics</v>
      </c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 t="str">
        <f>IFERROR(__xludf.DUMMYFUNCTION("""COMPUTED_VALUE"""),"ER_A02_T001")</f>
        <v>ER_A02_T001</v>
      </c>
      <c r="B129" s="11" t="str">
        <f>IFERROR(__xludf.DUMMYFUNCTION("""COMPUTED_VALUE"""),"Rack and Pinion Decided")</f>
        <v>Rack and Pinion Decided</v>
      </c>
      <c r="C129" s="11" t="str">
        <f>IFERROR(__xludf.DUMMYFUNCTION("""COMPUTED_VALUE"""),"Ergonomics")</f>
        <v>Ergonomics</v>
      </c>
      <c r="D129" s="20">
        <f>IFERROR(__xludf.DUMMYFUNCTION("""COMPUTED_VALUE"""),46266.0)</f>
        <v>46266</v>
      </c>
      <c r="E129" s="20">
        <f>IFERROR(__xludf.DUMMYFUNCTION("""COMPUTED_VALUE"""),46295.0)</f>
        <v>46295</v>
      </c>
      <c r="F129" s="11" t="str">
        <f>IFERROR(__xludf.DUMMYFUNCTION("""COMPUTED_VALUE"""),"Not Started")</f>
        <v>Not Started</v>
      </c>
      <c r="G129" s="11"/>
      <c r="H129" s="11" t="str">
        <f>IFERROR(__xludf.DUMMYFUNCTION("""COMPUTED_VALUE"""),"James King")</f>
        <v>James King</v>
      </c>
      <c r="I129" s="11" t="str">
        <f>IFERROR(__xludf.DUMMYFUNCTION("""COMPUTED_VALUE"""),"High")</f>
        <v>High</v>
      </c>
      <c r="J129" s="11"/>
      <c r="K129" s="11"/>
      <c r="L129" s="11"/>
      <c r="M129" s="11" t="str">
        <f>IFERROR(__xludf.DUMMYFUNCTION("""COMPUTED_VALUE"""),"A02 - Steering")</f>
        <v>A02 - Steering</v>
      </c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 t="str">
        <f>IFERROR(__xludf.DUMMYFUNCTION("""COMPUTED_VALUE"""),"ER_A02_T002")</f>
        <v>ER_A02_T002</v>
      </c>
      <c r="B130" s="11" t="str">
        <f>IFERROR(__xludf.DUMMYFUNCTION("""COMPUTED_VALUE"""),"Insert Steering column")</f>
        <v>Insert Steering column</v>
      </c>
      <c r="C130" s="11" t="str">
        <f>IFERROR(__xludf.DUMMYFUNCTION("""COMPUTED_VALUE"""),"Ergonomics")</f>
        <v>Ergonomics</v>
      </c>
      <c r="D130" s="20">
        <f>IFERROR(__xludf.DUMMYFUNCTION("""COMPUTED_VALUE"""),46401.0)</f>
        <v>46401</v>
      </c>
      <c r="E130" s="20">
        <f>IFERROR(__xludf.DUMMYFUNCTION("""COMPUTED_VALUE"""),46403.0)</f>
        <v>46403</v>
      </c>
      <c r="F130" s="11" t="str">
        <f>IFERROR(__xludf.DUMMYFUNCTION("""COMPUTED_VALUE"""),"Not Started")</f>
        <v>Not Started</v>
      </c>
      <c r="G130" s="11"/>
      <c r="H130" s="11" t="str">
        <f>IFERROR(__xludf.DUMMYFUNCTION("""COMPUTED_VALUE"""),"James King")</f>
        <v>James King</v>
      </c>
      <c r="I130" s="11" t="str">
        <f>IFERROR(__xludf.DUMMYFUNCTION("""COMPUTED_VALUE"""),"Critical")</f>
        <v>Critical</v>
      </c>
      <c r="J130" s="11"/>
      <c r="K130" s="11"/>
      <c r="L130" s="11"/>
      <c r="M130" s="11" t="str">
        <f>IFERROR(__xludf.DUMMYFUNCTION("""COMPUTED_VALUE"""),"A02 - Steering")</f>
        <v>A02 - Steering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 t="str">
        <f>IFERROR(__xludf.DUMMYFUNCTION("""COMPUTED_VALUE"""),"ER_A03_T001")</f>
        <v>ER_A03_T001</v>
      </c>
      <c r="B131" s="11" t="str">
        <f>IFERROR(__xludf.DUMMYFUNCTION("""COMPUTED_VALUE"""),"Pedal Ajustability Decided")</f>
        <v>Pedal Ajustability Decided</v>
      </c>
      <c r="C131" s="11" t="str">
        <f>IFERROR(__xludf.DUMMYFUNCTION("""COMPUTED_VALUE"""),"Ergonomics")</f>
        <v>Ergonomics</v>
      </c>
      <c r="D131" s="20">
        <f>IFERROR(__xludf.DUMMYFUNCTION("""COMPUTED_VALUE"""),46266.0)</f>
        <v>46266</v>
      </c>
      <c r="E131" s="20">
        <f>IFERROR(__xludf.DUMMYFUNCTION("""COMPUTED_VALUE"""),46277.0)</f>
        <v>46277</v>
      </c>
      <c r="F131" s="11" t="str">
        <f>IFERROR(__xludf.DUMMYFUNCTION("""COMPUTED_VALUE"""),"Not Started")</f>
        <v>Not Started</v>
      </c>
      <c r="G131" s="11"/>
      <c r="H131" s="11" t="str">
        <f>IFERROR(__xludf.DUMMYFUNCTION("""COMPUTED_VALUE"""),"Cameron Harvey")</f>
        <v>Cameron Harvey</v>
      </c>
      <c r="I131" s="11" t="str">
        <f>IFERROR(__xludf.DUMMYFUNCTION("""COMPUTED_VALUE"""),"High")</f>
        <v>High</v>
      </c>
      <c r="J131" s="11"/>
      <c r="K131" s="11"/>
      <c r="L131" s="11"/>
      <c r="M131" s="11" t="str">
        <f>IFERROR(__xludf.DUMMYFUNCTION("""COMPUTED_VALUE"""),"A03 - Pedals")</f>
        <v>A03 - Pedals</v>
      </c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 t="str">
        <f>IFERROR(__xludf.DUMMYFUNCTION("""COMPUTED_VALUE"""),"ER_A03_T002")</f>
        <v>ER_A03_T002</v>
      </c>
      <c r="B132" s="11" t="str">
        <f>IFERROR(__xludf.DUMMYFUNCTION("""COMPUTED_VALUE"""),"Insert pedals")</f>
        <v>Insert pedals</v>
      </c>
      <c r="C132" s="11" t="str">
        <f>IFERROR(__xludf.DUMMYFUNCTION("""COMPUTED_VALUE"""),"Ergonomics")</f>
        <v>Ergonomics</v>
      </c>
      <c r="D132" s="20">
        <f>IFERROR(__xludf.DUMMYFUNCTION("""COMPUTED_VALUE"""),46402.0)</f>
        <v>46402</v>
      </c>
      <c r="E132" s="20">
        <f>IFERROR(__xludf.DUMMYFUNCTION("""COMPUTED_VALUE"""),46404.0)</f>
        <v>46404</v>
      </c>
      <c r="F132" s="11" t="str">
        <f>IFERROR(__xludf.DUMMYFUNCTION("""COMPUTED_VALUE"""),"Not Started")</f>
        <v>Not Started</v>
      </c>
      <c r="G132" s="11"/>
      <c r="H132" s="11" t="str">
        <f>IFERROR(__xludf.DUMMYFUNCTION("""COMPUTED_VALUE"""),"Cameron Harvey")</f>
        <v>Cameron Harvey</v>
      </c>
      <c r="I132" s="11" t="str">
        <f>IFERROR(__xludf.DUMMYFUNCTION("""COMPUTED_VALUE"""),"Critical")</f>
        <v>Critical</v>
      </c>
      <c r="J132" s="11"/>
      <c r="K132" s="11"/>
      <c r="L132" s="11"/>
      <c r="M132" s="11" t="str">
        <f>IFERROR(__xludf.DUMMYFUNCTION("""COMPUTED_VALUE"""),"A03 - Pedals")</f>
        <v>A03 - Pedals</v>
      </c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 t="str">
        <f>IFERROR(__xludf.DUMMYFUNCTION("""COMPUTED_VALUE"""),"ER_A03_T003")</f>
        <v>ER_A03_T003</v>
      </c>
      <c r="B133" s="11" t="str">
        <f>IFERROR(__xludf.DUMMYFUNCTION("""COMPUTED_VALUE"""),"Determine Lockup force")</f>
        <v>Determine Lockup force</v>
      </c>
      <c r="C133" s="11" t="str">
        <f>IFERROR(__xludf.DUMMYFUNCTION("""COMPUTED_VALUE"""),"Ergonomics")</f>
        <v>Ergonomics</v>
      </c>
      <c r="D133" s="20"/>
      <c r="E133" s="20"/>
      <c r="F133" s="11"/>
      <c r="G133" s="11"/>
      <c r="H133" s="11" t="str">
        <f>IFERROR(__xludf.DUMMYFUNCTION("""COMPUTED_VALUE"""),"Cameron Harvey")</f>
        <v>Cameron Harvey</v>
      </c>
      <c r="I133" s="11"/>
      <c r="J133" s="11"/>
      <c r="K133" s="11"/>
      <c r="L133" s="11"/>
      <c r="M133" s="11" t="str">
        <f>IFERROR(__xludf.DUMMYFUNCTION("""COMPUTED_VALUE"""),"A03 - Pedals")</f>
        <v>A03 - Pedals</v>
      </c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 t="str">
        <f>IFERROR(__xludf.DUMMYFUNCTION("""COMPUTED_VALUE"""),"ER_A03_T004")</f>
        <v>ER_A03_T004</v>
      </c>
      <c r="B134" s="11" t="str">
        <f>IFERROR(__xludf.DUMMYFUNCTION("""COMPUTED_VALUE"""),"Order Tilton Prodcuts for pedals")</f>
        <v>Order Tilton Prodcuts for pedals</v>
      </c>
      <c r="C134" s="11" t="str">
        <f>IFERROR(__xludf.DUMMYFUNCTION("""COMPUTED_VALUE"""),"Ergonomics")</f>
        <v>Ergonomics</v>
      </c>
      <c r="D134" s="20"/>
      <c r="E134" s="20"/>
      <c r="F134" s="11"/>
      <c r="G134" s="11"/>
      <c r="H134" s="11" t="str">
        <f>IFERROR(__xludf.DUMMYFUNCTION("""COMPUTED_VALUE"""),"Cameron Harvey")</f>
        <v>Cameron Harvey</v>
      </c>
      <c r="I134" s="11"/>
      <c r="J134" s="11"/>
      <c r="K134" s="11"/>
      <c r="L134" s="11"/>
      <c r="M134" s="11" t="str">
        <f>IFERROR(__xludf.DUMMYFUNCTION("""COMPUTED_VALUE"""),"A03 - Pedals")</f>
        <v>A03 - Pedals</v>
      </c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 t="str">
        <f>IFERROR(__xludf.DUMMYFUNCTION("""COMPUTED_VALUE"""),"ER_A04_T001")</f>
        <v>ER_A04_T001</v>
      </c>
      <c r="B135" s="11" t="str">
        <f>IFERROR(__xludf.DUMMYFUNCTION("""COMPUTED_VALUE"""),"Drivers Molds Taken")</f>
        <v>Drivers Molds Taken</v>
      </c>
      <c r="C135" s="11" t="str">
        <f>IFERROR(__xludf.DUMMYFUNCTION("""COMPUTED_VALUE"""),"Ergonomics")</f>
        <v>Ergonomics</v>
      </c>
      <c r="D135" s="20">
        <f>IFERROR(__xludf.DUMMYFUNCTION("""COMPUTED_VALUE"""),46313.0)</f>
        <v>46313</v>
      </c>
      <c r="E135" s="20">
        <f>IFERROR(__xludf.DUMMYFUNCTION("""COMPUTED_VALUE"""),46319.0)</f>
        <v>46319</v>
      </c>
      <c r="F135" s="11" t="str">
        <f>IFERROR(__xludf.DUMMYFUNCTION("""COMPUTED_VALUE"""),"Not Started")</f>
        <v>Not Started</v>
      </c>
      <c r="G135" s="11"/>
      <c r="H135" s="11" t="str">
        <f>IFERROR(__xludf.DUMMYFUNCTION("""COMPUTED_VALUE"""),"James King")</f>
        <v>James King</v>
      </c>
      <c r="I135" s="11" t="str">
        <f>IFERROR(__xludf.DUMMYFUNCTION("""COMPUTED_VALUE"""),"High")</f>
        <v>High</v>
      </c>
      <c r="J135" s="11"/>
      <c r="K135" s="11"/>
      <c r="L135" s="11"/>
      <c r="M135" s="11" t="str">
        <f>IFERROR(__xludf.DUMMYFUNCTION("""COMPUTED_VALUE"""),"A04 - Seat")</f>
        <v>A04 - Seat</v>
      </c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 t="str">
        <f>IFERROR(__xludf.DUMMYFUNCTION("""COMPUTED_VALUE"""),"ER_A04_T002")</f>
        <v>ER_A04_T002</v>
      </c>
      <c r="B136" s="11" t="str">
        <f>IFERROR(__xludf.DUMMYFUNCTION("""COMPUTED_VALUE"""),"Driver Seat Scans in CAD")</f>
        <v>Driver Seat Scans in CAD</v>
      </c>
      <c r="C136" s="11" t="str">
        <f>IFERROR(__xludf.DUMMYFUNCTION("""COMPUTED_VALUE"""),"Ergonomics")</f>
        <v>Ergonomics</v>
      </c>
      <c r="D136" s="20">
        <f>IFERROR(__xludf.DUMMYFUNCTION("""COMPUTED_VALUE"""),46320.0)</f>
        <v>46320</v>
      </c>
      <c r="E136" s="20">
        <f>IFERROR(__xludf.DUMMYFUNCTION("""COMPUTED_VALUE"""),46326.0)</f>
        <v>46326</v>
      </c>
      <c r="F136" s="11" t="str">
        <f>IFERROR(__xludf.DUMMYFUNCTION("""COMPUTED_VALUE"""),"Not Started")</f>
        <v>Not Started</v>
      </c>
      <c r="G136" s="11"/>
      <c r="H136" s="11" t="str">
        <f>IFERROR(__xludf.DUMMYFUNCTION("""COMPUTED_VALUE"""),"James King")</f>
        <v>James King</v>
      </c>
      <c r="I136" s="11" t="str">
        <f>IFERROR(__xludf.DUMMYFUNCTION("""COMPUTED_VALUE"""),"High")</f>
        <v>High</v>
      </c>
      <c r="J136" s="11"/>
      <c r="K136" s="11"/>
      <c r="L136" s="11"/>
      <c r="M136" s="11" t="str">
        <f>IFERROR(__xludf.DUMMYFUNCTION("""COMPUTED_VALUE"""),"A04 - Seat")</f>
        <v>A04 - Seat</v>
      </c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 t="str">
        <f>IFERROR(__xludf.DUMMYFUNCTION("""COMPUTED_VALUE"""),"ER_A04_T003")</f>
        <v>ER_A04_T003</v>
      </c>
      <c r="B137" s="11" t="str">
        <f>IFERROR(__xludf.DUMMYFUNCTION("""COMPUTED_VALUE"""),"Seat Upper Constraint Solution")</f>
        <v>Seat Upper Constraint Solution</v>
      </c>
      <c r="C137" s="11" t="str">
        <f>IFERROR(__xludf.DUMMYFUNCTION("""COMPUTED_VALUE"""),"Ergonomics")</f>
        <v>Ergonomics</v>
      </c>
      <c r="D137" s="20">
        <f>IFERROR(__xludf.DUMMYFUNCTION("""COMPUTED_VALUE"""),46266.0)</f>
        <v>46266</v>
      </c>
      <c r="E137" s="20">
        <f>IFERROR(__xludf.DUMMYFUNCTION("""COMPUTED_VALUE"""),46295.0)</f>
        <v>46295</v>
      </c>
      <c r="F137" s="11" t="str">
        <f>IFERROR(__xludf.DUMMYFUNCTION("""COMPUTED_VALUE"""),"Not Started")</f>
        <v>Not Started</v>
      </c>
      <c r="G137" s="11"/>
      <c r="H137" s="11" t="str">
        <f>IFERROR(__xludf.DUMMYFUNCTION("""COMPUTED_VALUE"""),"James King")</f>
        <v>James King</v>
      </c>
      <c r="I137" s="11" t="str">
        <f>IFERROR(__xludf.DUMMYFUNCTION("""COMPUTED_VALUE"""),"High")</f>
        <v>High</v>
      </c>
      <c r="J137" s="11"/>
      <c r="K137" s="11"/>
      <c r="L137" s="11"/>
      <c r="M137" s="11" t="str">
        <f>IFERROR(__xludf.DUMMYFUNCTION("""COMPUTED_VALUE"""),"A04 - Seat")</f>
        <v>A04 - Seat</v>
      </c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 t="str">
        <f>IFERROR(__xludf.DUMMYFUNCTION("""COMPUTED_VALUE"""),"ER_A04_T004")</f>
        <v>ER_A04_T004</v>
      </c>
      <c r="B138" s="11" t="str">
        <f>IFERROR(__xludf.DUMMYFUNCTION("""COMPUTED_VALUE"""),"Make Plug for New Seat")</f>
        <v>Make Plug for New Seat</v>
      </c>
      <c r="C138" s="11" t="str">
        <f>IFERROR(__xludf.DUMMYFUNCTION("""COMPUTED_VALUE"""),"Ergonomics")</f>
        <v>Ergonomics</v>
      </c>
      <c r="D138" s="20">
        <f>IFERROR(__xludf.DUMMYFUNCTION("""COMPUTED_VALUE"""),46342.0)</f>
        <v>46342</v>
      </c>
      <c r="E138" s="20">
        <f>IFERROR(__xludf.DUMMYFUNCTION("""COMPUTED_VALUE"""),46353.0)</f>
        <v>46353</v>
      </c>
      <c r="F138" s="11" t="str">
        <f>IFERROR(__xludf.DUMMYFUNCTION("""COMPUTED_VALUE"""),"Not Started")</f>
        <v>Not Started</v>
      </c>
      <c r="G138" s="11"/>
      <c r="H138" s="11" t="str">
        <f>IFERROR(__xludf.DUMMYFUNCTION("""COMPUTED_VALUE"""),"James King")</f>
        <v>James King</v>
      </c>
      <c r="I138" s="11" t="str">
        <f>IFERROR(__xludf.DUMMYFUNCTION("""COMPUTED_VALUE"""),"High")</f>
        <v>High</v>
      </c>
      <c r="J138" s="11"/>
      <c r="K138" s="11"/>
      <c r="L138" s="11"/>
      <c r="M138" s="11" t="str">
        <f>IFERROR(__xludf.DUMMYFUNCTION("""COMPUTED_VALUE"""),"A04 - Seat")</f>
        <v>A04 - Seat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 t="str">
        <f>IFERROR(__xludf.DUMMYFUNCTION("""COMPUTED_VALUE"""),"ER_A04_T005")</f>
        <v>ER_A04_T005</v>
      </c>
      <c r="B139" s="11" t="str">
        <f>IFERROR(__xludf.DUMMYFUNCTION("""COMPUTED_VALUE"""),"Layup New Driver Seat")</f>
        <v>Layup New Driver Seat</v>
      </c>
      <c r="C139" s="11" t="str">
        <f>IFERROR(__xludf.DUMMYFUNCTION("""COMPUTED_VALUE"""),"Ergonomics")</f>
        <v>Ergonomics</v>
      </c>
      <c r="D139" s="20">
        <f>IFERROR(__xludf.DUMMYFUNCTION("""COMPUTED_VALUE"""),46356.0)</f>
        <v>46356</v>
      </c>
      <c r="E139" s="20">
        <f>IFERROR(__xludf.DUMMYFUNCTION("""COMPUTED_VALUE"""),46367.0)</f>
        <v>46367</v>
      </c>
      <c r="F139" s="11" t="str">
        <f>IFERROR(__xludf.DUMMYFUNCTION("""COMPUTED_VALUE"""),"Not Started")</f>
        <v>Not Started</v>
      </c>
      <c r="G139" s="11"/>
      <c r="H139" s="11" t="str">
        <f>IFERROR(__xludf.DUMMYFUNCTION("""COMPUTED_VALUE"""),"James King")</f>
        <v>James King</v>
      </c>
      <c r="I139" s="11" t="str">
        <f>IFERROR(__xludf.DUMMYFUNCTION("""COMPUTED_VALUE"""),"High")</f>
        <v>High</v>
      </c>
      <c r="J139" s="11"/>
      <c r="K139" s="11"/>
      <c r="L139" s="11"/>
      <c r="M139" s="11" t="str">
        <f>IFERROR(__xludf.DUMMYFUNCTION("""COMPUTED_VALUE"""),"A04 - Seat")</f>
        <v>A04 - Seat</v>
      </c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 t="str">
        <f>IFERROR(__xludf.DUMMYFUNCTION("""COMPUTED_VALUE"""),"ER_A05_T001")</f>
        <v>ER_A05_T001</v>
      </c>
      <c r="B140" s="11" t="str">
        <f>IFERROR(__xludf.DUMMYFUNCTION("""COMPUTED_VALUE"""),"Order Firewall/Backups")</f>
        <v>Order Firewall/Backups</v>
      </c>
      <c r="C140" s="11" t="str">
        <f>IFERROR(__xludf.DUMMYFUNCTION("""COMPUTED_VALUE"""),"Ergonomics")</f>
        <v>Ergonomics</v>
      </c>
      <c r="D140" s="20">
        <f>IFERROR(__xludf.DUMMYFUNCTION("""COMPUTED_VALUE"""),46367.0)</f>
        <v>46367</v>
      </c>
      <c r="E140" s="20">
        <f>IFERROR(__xludf.DUMMYFUNCTION("""COMPUTED_VALUE"""),46372.0)</f>
        <v>46372</v>
      </c>
      <c r="F140" s="11" t="str">
        <f>IFERROR(__xludf.DUMMYFUNCTION("""COMPUTED_VALUE"""),"Not Started")</f>
        <v>Not Started</v>
      </c>
      <c r="G140" s="11"/>
      <c r="H140" s="11" t="str">
        <f>IFERROR(__xludf.DUMMYFUNCTION("""COMPUTED_VALUE"""),"James King")</f>
        <v>James King</v>
      </c>
      <c r="I140" s="11" t="str">
        <f>IFERROR(__xludf.DUMMYFUNCTION("""COMPUTED_VALUE"""),"High")</f>
        <v>High</v>
      </c>
      <c r="J140" s="11"/>
      <c r="K140" s="11"/>
      <c r="L140" s="11"/>
      <c r="M140" s="11" t="str">
        <f>IFERROR(__xludf.DUMMYFUNCTION("""COMPUTED_VALUE"""),"A05 - Firewall")</f>
        <v>A05 - Firewall</v>
      </c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 t="str">
        <f>IFERROR(__xludf.DUMMYFUNCTION("""COMPUTED_VALUE"""),"ER_A05_T002")</f>
        <v>ER_A05_T002</v>
      </c>
      <c r="B141" s="11" t="str">
        <f>IFERROR(__xludf.DUMMYFUNCTION("""COMPUTED_VALUE"""),"Mount Firewall")</f>
        <v>Mount Firewall</v>
      </c>
      <c r="C141" s="11" t="str">
        <f>IFERROR(__xludf.DUMMYFUNCTION("""COMPUTED_VALUE"""),"Ergonomics")</f>
        <v>Ergonomics</v>
      </c>
      <c r="D141" s="20">
        <f>IFERROR(__xludf.DUMMYFUNCTION("""COMPUTED_VALUE"""),46405.0)</f>
        <v>46405</v>
      </c>
      <c r="E141" s="20">
        <f>IFERROR(__xludf.DUMMYFUNCTION("""COMPUTED_VALUE"""),46405.0)</f>
        <v>46405</v>
      </c>
      <c r="F141" s="11" t="str">
        <f>IFERROR(__xludf.DUMMYFUNCTION("""COMPUTED_VALUE"""),"Not Started")</f>
        <v>Not Started</v>
      </c>
      <c r="G141" s="11"/>
      <c r="H141" s="11" t="str">
        <f>IFERROR(__xludf.DUMMYFUNCTION("""COMPUTED_VALUE"""),"James King")</f>
        <v>James King</v>
      </c>
      <c r="I141" s="11" t="str">
        <f>IFERROR(__xludf.DUMMYFUNCTION("""COMPUTED_VALUE"""),"Critical")</f>
        <v>Critical</v>
      </c>
      <c r="J141" s="11"/>
      <c r="K141" s="11"/>
      <c r="L141" s="11"/>
      <c r="M141" s="11" t="str">
        <f>IFERROR(__xludf.DUMMYFUNCTION("""COMPUTED_VALUE"""),"A05 - Firewall")</f>
        <v>A05 - Firewall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 t="str">
        <f>IFERROR(__xludf.DUMMYFUNCTION("""COMPUTED_VALUE"""),"ER_A06_T001")</f>
        <v>ER_A06_T001</v>
      </c>
      <c r="B142" s="11" t="str">
        <f>IFERROR(__xludf.DUMMYFUNCTION("""COMPUTED_VALUE"""),"Mount Head Restraint")</f>
        <v>Mount Head Restraint</v>
      </c>
      <c r="C142" s="11" t="str">
        <f>IFERROR(__xludf.DUMMYFUNCTION("""COMPUTED_VALUE"""),"Ergonomics")</f>
        <v>Ergonomics</v>
      </c>
      <c r="D142" s="20">
        <f>IFERROR(__xludf.DUMMYFUNCTION("""COMPUTED_VALUE"""),46404.0)</f>
        <v>46404</v>
      </c>
      <c r="E142" s="20">
        <f>IFERROR(__xludf.DUMMYFUNCTION("""COMPUTED_VALUE"""),46405.0)</f>
        <v>46405</v>
      </c>
      <c r="F142" s="11" t="str">
        <f>IFERROR(__xludf.DUMMYFUNCTION("""COMPUTED_VALUE"""),"Not Started")</f>
        <v>Not Started</v>
      </c>
      <c r="G142" s="11"/>
      <c r="H142" s="11" t="str">
        <f>IFERROR(__xludf.DUMMYFUNCTION("""COMPUTED_VALUE"""),"James King")</f>
        <v>James King</v>
      </c>
      <c r="I142" s="11" t="str">
        <f>IFERROR(__xludf.DUMMYFUNCTION("""COMPUTED_VALUE"""),"Critical")</f>
        <v>Critical</v>
      </c>
      <c r="J142" s="11"/>
      <c r="K142" s="11"/>
      <c r="L142" s="11"/>
      <c r="M142" s="11" t="str">
        <f>IFERROR(__xludf.DUMMYFUNCTION("""COMPUTED_VALUE"""),"A06 - Head Restraint")</f>
        <v>A06 - Head Restraint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 t="str">
        <f>IFERROR(__xludf.DUMMYFUNCTION("""COMPUTED_VALUE"""),"ER_A06_T002")</f>
        <v>ER_A06_T002</v>
      </c>
      <c r="B143" s="11" t="str">
        <f>IFERROR(__xludf.DUMMYFUNCTION("""COMPUTED_VALUE"""),"Decide on mounting method of Head Restraint")</f>
        <v>Decide on mounting method of Head Restraint</v>
      </c>
      <c r="C143" s="11" t="str">
        <f>IFERROR(__xludf.DUMMYFUNCTION("""COMPUTED_VALUE"""),"Ergonomics")</f>
        <v>Ergonomics</v>
      </c>
      <c r="D143" s="20">
        <f>IFERROR(__xludf.DUMMYFUNCTION("""COMPUTED_VALUE"""),46272.0)</f>
        <v>46272</v>
      </c>
      <c r="E143" s="20">
        <f>IFERROR(__xludf.DUMMYFUNCTION("""COMPUTED_VALUE"""),46295.0)</f>
        <v>46295</v>
      </c>
      <c r="F143" s="11" t="str">
        <f>IFERROR(__xludf.DUMMYFUNCTION("""COMPUTED_VALUE"""),"Not Started")</f>
        <v>Not Started</v>
      </c>
      <c r="G143" s="11"/>
      <c r="H143" s="11" t="str">
        <f>IFERROR(__xludf.DUMMYFUNCTION("""COMPUTED_VALUE"""),"James King")</f>
        <v>James King</v>
      </c>
      <c r="I143" s="11" t="str">
        <f>IFERROR(__xludf.DUMMYFUNCTION("""COMPUTED_VALUE"""),"High")</f>
        <v>High</v>
      </c>
      <c r="J143" s="11"/>
      <c r="K143" s="11"/>
      <c r="L143" s="11"/>
      <c r="M143" s="11" t="str">
        <f>IFERROR(__xludf.DUMMYFUNCTION("""COMPUTED_VALUE"""),"A06 - Head Restraint")</f>
        <v>A06 - Head Restraint</v>
      </c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 t="str">
        <f>IFERROR(__xludf.DUMMYFUNCTION("""COMPUTED_VALUE"""),"MO_A01_T001")</f>
        <v>MO_A01_T001</v>
      </c>
      <c r="B144" s="11" t="str">
        <f>IFERROR(__xludf.DUMMYFUNCTION("""COMPUTED_VALUE"""),"Ordering Composite Materials")</f>
        <v>Ordering Composite Materials</v>
      </c>
      <c r="C144" s="11" t="str">
        <f>IFERROR(__xludf.DUMMYFUNCTION("""COMPUTED_VALUE"""),"Monocoque")</f>
        <v>Monocoque</v>
      </c>
      <c r="D144" s="20">
        <f>IFERROR(__xludf.DUMMYFUNCTION("""COMPUTED_VALUE"""),46230.0)</f>
        <v>46230</v>
      </c>
      <c r="E144" s="20">
        <f>IFERROR(__xludf.DUMMYFUNCTION("""COMPUTED_VALUE"""),46248.0)</f>
        <v>46248</v>
      </c>
      <c r="F144" s="11" t="str">
        <f>IFERROR(__xludf.DUMMYFUNCTION("""COMPUTED_VALUE"""),"In Progress")</f>
        <v>In Progress</v>
      </c>
      <c r="G144" s="11"/>
      <c r="H144" s="11" t="str">
        <f>IFERROR(__xludf.DUMMYFUNCTION("""COMPUTED_VALUE"""),"Katherine Collard")</f>
        <v>Katherine Collard</v>
      </c>
      <c r="I144" s="11" t="str">
        <f>IFERROR(__xludf.DUMMYFUNCTION("""COMPUTED_VALUE"""),"Low")</f>
        <v>Low</v>
      </c>
      <c r="J144" s="11"/>
      <c r="K144" s="11"/>
      <c r="L144" s="11"/>
      <c r="M144" s="11" t="str">
        <f>IFERROR(__xludf.DUMMYFUNCTION("""COMPUTED_VALUE"""),"A01 - Monocoque")</f>
        <v>A01 - Monocoque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 t="str">
        <f>IFERROR(__xludf.DUMMYFUNCTION("""COMPUTED_VALUE"""),"MO_A01_T002")</f>
        <v>MO_A01_T002</v>
      </c>
      <c r="B145" s="11"/>
      <c r="C145" s="11" t="str">
        <f>IFERROR(__xludf.DUMMYFUNCTION("""COMPUTED_VALUE"""),"Monocoque")</f>
        <v>Monocoque</v>
      </c>
      <c r="D145" s="20"/>
      <c r="E145" s="20"/>
      <c r="F145" s="11" t="str">
        <f>IFERROR(__xludf.DUMMYFUNCTION("""COMPUTED_VALUE"""),"Not Started")</f>
        <v>Not Started</v>
      </c>
      <c r="G145" s="11"/>
      <c r="H145" s="11" t="str">
        <f>IFERROR(__xludf.DUMMYFUNCTION("""COMPUTED_VALUE"""),"Katherine Collard")</f>
        <v>Katherine Collard</v>
      </c>
      <c r="I145" s="11" t="str">
        <f>IFERROR(__xludf.DUMMYFUNCTION("""COMPUTED_VALUE"""),"Critical")</f>
        <v>Critical</v>
      </c>
      <c r="J145" s="11"/>
      <c r="K145" s="11"/>
      <c r="L145" s="11"/>
      <c r="M145" s="11" t="str">
        <f>IFERROR(__xludf.DUMMYFUNCTION("""COMPUTED_VALUE"""),"A01 - Monocoque")</f>
        <v>A01 - Monocoque</v>
      </c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 t="str">
        <f>IFERROR(__xludf.DUMMYFUNCTION("""COMPUTED_VALUE"""),"MO_A01_T003")</f>
        <v>MO_A01_T003</v>
      </c>
      <c r="B146" s="11" t="str">
        <f>IFERROR(__xludf.DUMMYFUNCTION("""COMPUTED_VALUE"""),"Select foam and plug manufacturing process")</f>
        <v>Select foam and plug manufacturing process</v>
      </c>
      <c r="C146" s="11" t="str">
        <f>IFERROR(__xludf.DUMMYFUNCTION("""COMPUTED_VALUE"""),"Monocoque")</f>
        <v>Monocoque</v>
      </c>
      <c r="D146" s="20">
        <f>IFERROR(__xludf.DUMMYFUNCTION("""COMPUTED_VALUE"""),46264.0)</f>
        <v>46264</v>
      </c>
      <c r="E146" s="20">
        <f>IFERROR(__xludf.DUMMYFUNCTION("""COMPUTED_VALUE"""),46265.0)</f>
        <v>46265</v>
      </c>
      <c r="F146" s="11" t="str">
        <f>IFERROR(__xludf.DUMMYFUNCTION("""COMPUTED_VALUE"""),"Not Started")</f>
        <v>Not Started</v>
      </c>
      <c r="G146" s="11"/>
      <c r="H146" s="11" t="str">
        <f>IFERROR(__xludf.DUMMYFUNCTION("""COMPUTED_VALUE"""),"Katherine Collard")</f>
        <v>Katherine Collard</v>
      </c>
      <c r="I146" s="11" t="str">
        <f>IFERROR(__xludf.DUMMYFUNCTION("""COMPUTED_VALUE"""),"Critical")</f>
        <v>Critical</v>
      </c>
      <c r="J146" s="11"/>
      <c r="K146" s="11" t="str">
        <f>IFERROR(__xludf.DUMMYFUNCTION("""COMPUTED_VALUE"""),"Documented foam/plug process and manufacturing location")</f>
        <v>Documented foam/plug process and manufacturing location</v>
      </c>
      <c r="L146" s="11" t="str">
        <f>IFERROR(__xludf.DUMMYFUNCTION("""COMPUTED_VALUE"""),"Decide in-house vs. Woodward and old vs. new plugs.")</f>
        <v>Decide in-house vs. Woodward and old vs. new plugs.</v>
      </c>
      <c r="M146" s="11" t="str">
        <f>IFERROR(__xludf.DUMMYFUNCTION("""COMPUTED_VALUE"""),"A01 - Monocoque")</f>
        <v>A01 - Monocoque</v>
      </c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 t="str">
        <f>IFERROR(__xludf.DUMMYFUNCTION("""COMPUTED_VALUE"""),"MO_A01_T004")</f>
        <v>MO_A01_T004</v>
      </c>
      <c r="B147" s="11" t="str">
        <f>IFERROR(__xludf.DUMMYFUNCTION("""COMPUTED_VALUE"""),"Trial mold gel coat process")</f>
        <v>Trial mold gel coat process</v>
      </c>
      <c r="C147" s="11" t="str">
        <f>IFERROR(__xludf.DUMMYFUNCTION("""COMPUTED_VALUE"""),"Monocoque")</f>
        <v>Monocoque</v>
      </c>
      <c r="D147" s="20">
        <f>IFERROR(__xludf.DUMMYFUNCTION("""COMPUTED_VALUE"""),46268.0)</f>
        <v>46268</v>
      </c>
      <c r="E147" s="20">
        <f>IFERROR(__xludf.DUMMYFUNCTION("""COMPUTED_VALUE"""),46268.0)</f>
        <v>46268</v>
      </c>
      <c r="F147" s="11" t="str">
        <f>IFERROR(__xludf.DUMMYFUNCTION("""COMPUTED_VALUE"""),"Not Started")</f>
        <v>Not Started</v>
      </c>
      <c r="G147" s="11"/>
      <c r="H147" s="11" t="str">
        <f>IFERROR(__xludf.DUMMYFUNCTION("""COMPUTED_VALUE"""),"Katherine Collard")</f>
        <v>Katherine Collard</v>
      </c>
      <c r="I147" s="11" t="str">
        <f>IFERROR(__xludf.DUMMYFUNCTION("""COMPUTED_VALUE"""),"Medium")</f>
        <v>Medium</v>
      </c>
      <c r="J147" s="11"/>
      <c r="K147" s="11" t="str">
        <f>IFERROR(__xludf.DUMMYFUNCTION("""COMPUTED_VALUE"""),"Gel coat trial results")</f>
        <v>Gel coat trial results</v>
      </c>
      <c r="L147" s="11"/>
      <c r="M147" s="11" t="str">
        <f>IFERROR(__xludf.DUMMYFUNCTION("""COMPUTED_VALUE"""),"A01 - Monocoque")</f>
        <v>A01 - Monocoque</v>
      </c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 t="str">
        <f>IFERROR(__xludf.DUMMYFUNCTION("""COMPUTED_VALUE"""),"MO_A01_T005")</f>
        <v>MO_A01_T005</v>
      </c>
      <c r="B148" s="11" t="str">
        <f>IFERROR(__xludf.DUMMYFUNCTION("""COMPUTED_VALUE"""),"Pre-process plug with Dolphin Glaze or selected filler")</f>
        <v>Pre-process plug with Dolphin Glaze or selected filler</v>
      </c>
      <c r="C148" s="11" t="str">
        <f>IFERROR(__xludf.DUMMYFUNCTION("""COMPUTED_VALUE"""),"Monocoque")</f>
        <v>Monocoque</v>
      </c>
      <c r="D148" s="20">
        <f>IFERROR(__xludf.DUMMYFUNCTION("""COMPUTED_VALUE"""),46272.0)</f>
        <v>46272</v>
      </c>
      <c r="E148" s="20">
        <f>IFERROR(__xludf.DUMMYFUNCTION("""COMPUTED_VALUE"""),46279.0)</f>
        <v>46279</v>
      </c>
      <c r="F148" s="11" t="str">
        <f>IFERROR(__xludf.DUMMYFUNCTION("""COMPUTED_VALUE"""),"Not Started")</f>
        <v>Not Started</v>
      </c>
      <c r="G148" s="11"/>
      <c r="H148" s="11" t="str">
        <f>IFERROR(__xludf.DUMMYFUNCTION("""COMPUTED_VALUE"""),"Katherine Collard")</f>
        <v>Katherine Collard</v>
      </c>
      <c r="I148" s="11" t="str">
        <f>IFERROR(__xludf.DUMMYFUNCTION("""COMPUTED_VALUE"""),"High")</f>
        <v>High</v>
      </c>
      <c r="J148" s="11"/>
      <c r="K148" s="11" t="str">
        <f>IFERROR(__xludf.DUMMYFUNCTION("""COMPUTED_VALUE"""),"Prepared plug surface")</f>
        <v>Prepared plug surface</v>
      </c>
      <c r="L148" s="11"/>
      <c r="M148" s="11" t="str">
        <f>IFERROR(__xludf.DUMMYFUNCTION("""COMPUTED_VALUE"""),"A01 - Monocoque")</f>
        <v>A01 - Monocoque</v>
      </c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 t="str">
        <f>IFERROR(__xludf.DUMMYFUNCTION("""COMPUTED_VALUE"""),"MO_A01_T006")</f>
        <v>MO_A01_T006</v>
      </c>
      <c r="B149" s="11" t="str">
        <f>IFERROR(__xludf.DUMMYFUNCTION("""COMPUTED_VALUE"""),"Receive carbon materials")</f>
        <v>Receive carbon materials</v>
      </c>
      <c r="C149" s="11" t="str">
        <f>IFERROR(__xludf.DUMMYFUNCTION("""COMPUTED_VALUE"""),"Monocoque")</f>
        <v>Monocoque</v>
      </c>
      <c r="D149" s="20">
        <f>IFERROR(__xludf.DUMMYFUNCTION("""COMPUTED_VALUE"""),46272.0)</f>
        <v>46272</v>
      </c>
      <c r="E149" s="20">
        <f>IFERROR(__xludf.DUMMYFUNCTION("""COMPUTED_VALUE"""),46272.0)</f>
        <v>46272</v>
      </c>
      <c r="F149" s="11" t="str">
        <f>IFERROR(__xludf.DUMMYFUNCTION("""COMPUTED_VALUE"""),"Not Started")</f>
        <v>Not Started</v>
      </c>
      <c r="G149" s="11"/>
      <c r="H149" s="11" t="str">
        <f>IFERROR(__xludf.DUMMYFUNCTION("""COMPUTED_VALUE"""),"Katherine Collard")</f>
        <v>Katherine Collard</v>
      </c>
      <c r="I149" s="11" t="str">
        <f>IFERROR(__xludf.DUMMYFUNCTION("""COMPUTED_VALUE"""),"Critical")</f>
        <v>Critical</v>
      </c>
      <c r="J149" s="11"/>
      <c r="K149" s="11" t="str">
        <f>IFERROR(__xludf.DUMMYFUNCTION("""COMPUTED_VALUE"""),"Carbon available for layups")</f>
        <v>Carbon available for layups</v>
      </c>
      <c r="L149" s="11"/>
      <c r="M149" s="11" t="str">
        <f>IFERROR(__xludf.DUMMYFUNCTION("""COMPUTED_VALUE"""),"A01 - Monocoque")</f>
        <v>A01 - Monocoque</v>
      </c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 t="str">
        <f>IFERROR(__xludf.DUMMYFUNCTION("""COMPUTED_VALUE"""),"MO_A01_T007")</f>
        <v>MO_A01_T007</v>
      </c>
      <c r="B150" s="11" t="str">
        <f>IFERROR(__xludf.DUMMYFUNCTION("""COMPUTED_VALUE"""),"Print drilling and assembly jigs")</f>
        <v>Print drilling and assembly jigs</v>
      </c>
      <c r="C150" s="11" t="str">
        <f>IFERROR(__xludf.DUMMYFUNCTION("""COMPUTED_VALUE"""),"Monocoque")</f>
        <v>Monocoque</v>
      </c>
      <c r="D150" s="20">
        <f>IFERROR(__xludf.DUMMYFUNCTION("""COMPUTED_VALUE"""),46317.0)</f>
        <v>46317</v>
      </c>
      <c r="E150" s="20">
        <f>IFERROR(__xludf.DUMMYFUNCTION("""COMPUTED_VALUE"""),46327.0)</f>
        <v>46327</v>
      </c>
      <c r="F150" s="11" t="str">
        <f>IFERROR(__xludf.DUMMYFUNCTION("""COMPUTED_VALUE"""),"Not Started")</f>
        <v>Not Started</v>
      </c>
      <c r="G150" s="11"/>
      <c r="H150" s="11" t="str">
        <f>IFERROR(__xludf.DUMMYFUNCTION("""COMPUTED_VALUE"""),"Katherine Collard")</f>
        <v>Katherine Collard</v>
      </c>
      <c r="I150" s="11" t="str">
        <f>IFERROR(__xludf.DUMMYFUNCTION("""COMPUTED_VALUE"""),"High")</f>
        <v>High</v>
      </c>
      <c r="J150" s="11"/>
      <c r="K150" s="11" t="str">
        <f>IFERROR(__xludf.DUMMYFUNCTION("""COMPUTED_VALUE"""),"Printed jigs")</f>
        <v>Printed jigs</v>
      </c>
      <c r="L150" s="11"/>
      <c r="M150" s="11" t="str">
        <f>IFERROR(__xludf.DUMMYFUNCTION("""COMPUTED_VALUE"""),"A01 - Monocoque")</f>
        <v>A01 - Monocoque</v>
      </c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 t="str">
        <f>IFERROR(__xludf.DUMMYFUNCTION("""COMPUTED_VALUE"""),"MO_A01_T008")</f>
        <v>MO_A01_T008</v>
      </c>
      <c r="B151" s="11" t="str">
        <f>IFERROR(__xludf.DUMMYFUNCTION("""COMPUTED_VALUE"""),"Cut Delrin jig rods")</f>
        <v>Cut Delrin jig rods</v>
      </c>
      <c r="C151" s="11" t="str">
        <f>IFERROR(__xludf.DUMMYFUNCTION("""COMPUTED_VALUE"""),"Monocoque")</f>
        <v>Monocoque</v>
      </c>
      <c r="D151" s="20">
        <f>IFERROR(__xludf.DUMMYFUNCTION("""COMPUTED_VALUE"""),46318.0)</f>
        <v>46318</v>
      </c>
      <c r="E151" s="20">
        <f>IFERROR(__xludf.DUMMYFUNCTION("""COMPUTED_VALUE"""),46327.0)</f>
        <v>46327</v>
      </c>
      <c r="F151" s="11" t="str">
        <f>IFERROR(__xludf.DUMMYFUNCTION("""COMPUTED_VALUE"""),"Not Started")</f>
        <v>Not Started</v>
      </c>
      <c r="G151" s="11"/>
      <c r="H151" s="11" t="str">
        <f>IFERROR(__xludf.DUMMYFUNCTION("""COMPUTED_VALUE"""),"Katherine Collard")</f>
        <v>Katherine Collard</v>
      </c>
      <c r="I151" s="11" t="str">
        <f>IFERROR(__xludf.DUMMYFUNCTION("""COMPUTED_VALUE"""),"High")</f>
        <v>High</v>
      </c>
      <c r="J151" s="11"/>
      <c r="K151" s="11" t="str">
        <f>IFERROR(__xludf.DUMMYFUNCTION("""COMPUTED_VALUE"""),"Cut Delrin rods")</f>
        <v>Cut Delrin rods</v>
      </c>
      <c r="L151" s="11"/>
      <c r="M151" s="11" t="str">
        <f>IFERROR(__xludf.DUMMYFUNCTION("""COMPUTED_VALUE"""),"A01 - Monocoque")</f>
        <v>A01 - Monocoque</v>
      </c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 t="str">
        <f>IFERROR(__xludf.DUMMYFUNCTION("""COMPUTED_VALUE"""),"MO_A01_T009")</f>
        <v>MO_A01_T009</v>
      </c>
      <c r="B152" s="11" t="str">
        <f>IFERROR(__xludf.DUMMYFUNCTION("""COMPUTED_VALUE"""),"Source all jigging materials for monocoque holes")</f>
        <v>Source all jigging materials for monocoque holes</v>
      </c>
      <c r="C152" s="11" t="str">
        <f>IFERROR(__xludf.DUMMYFUNCTION("""COMPUTED_VALUE"""),"Monocoque")</f>
        <v>Monocoque</v>
      </c>
      <c r="D152" s="20">
        <f>IFERROR(__xludf.DUMMYFUNCTION("""COMPUTED_VALUE"""),46311.0)</f>
        <v>46311</v>
      </c>
      <c r="E152" s="20">
        <f>IFERROR(__xludf.DUMMYFUNCTION("""COMPUTED_VALUE"""),46319.0)</f>
        <v>46319</v>
      </c>
      <c r="F152" s="11" t="str">
        <f>IFERROR(__xludf.DUMMYFUNCTION("""COMPUTED_VALUE"""),"Not Started")</f>
        <v>Not Started</v>
      </c>
      <c r="G152" s="11"/>
      <c r="H152" s="11" t="str">
        <f>IFERROR(__xludf.DUMMYFUNCTION("""COMPUTED_VALUE"""),"Katherine Collard")</f>
        <v>Katherine Collard</v>
      </c>
      <c r="I152" s="11" t="str">
        <f>IFERROR(__xludf.DUMMYFUNCTION("""COMPUTED_VALUE"""),"Critical")</f>
        <v>Critical</v>
      </c>
      <c r="J152" s="11"/>
      <c r="K152" s="11" t="str">
        <f>IFERROR(__xludf.DUMMYFUNCTION("""COMPUTED_VALUE"""),"Complete jigging material kit")</f>
        <v>Complete jigging material kit</v>
      </c>
      <c r="L152" s="11"/>
      <c r="M152" s="11" t="str">
        <f>IFERROR(__xludf.DUMMYFUNCTION("""COMPUTED_VALUE"""),"A01 - Monocoque")</f>
        <v>A01 - Monocoque</v>
      </c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 t="str">
        <f>IFERROR(__xludf.DUMMYFUNCTION("""COMPUTED_VALUE"""),"MO_A01_T010")</f>
        <v>MO_A01_T010</v>
      </c>
      <c r="B153" s="11" t="str">
        <f>IFERROR(__xludf.DUMMYFUNCTION("""COMPUTED_VALUE"""),"Order drill-bushing stock")</f>
        <v>Order drill-bushing stock</v>
      </c>
      <c r="C153" s="11" t="str">
        <f>IFERROR(__xludf.DUMMYFUNCTION("""COMPUTED_VALUE"""),"Monocoque")</f>
        <v>Monocoque</v>
      </c>
      <c r="D153" s="20">
        <f>IFERROR(__xludf.DUMMYFUNCTION("""COMPUTED_VALUE"""),46320.0)</f>
        <v>46320</v>
      </c>
      <c r="E153" s="20">
        <f>IFERROR(__xludf.DUMMYFUNCTION("""COMPUTED_VALUE"""),46320.0)</f>
        <v>46320</v>
      </c>
      <c r="F153" s="11" t="str">
        <f>IFERROR(__xludf.DUMMYFUNCTION("""COMPUTED_VALUE"""),"Not Started")</f>
        <v>Not Started</v>
      </c>
      <c r="G153" s="11"/>
      <c r="H153" s="11" t="str">
        <f>IFERROR(__xludf.DUMMYFUNCTION("""COMPUTED_VALUE"""),"Katherine Collard")</f>
        <v>Katherine Collard</v>
      </c>
      <c r="I153" s="11" t="str">
        <f>IFERROR(__xludf.DUMMYFUNCTION("""COMPUTED_VALUE"""),"High")</f>
        <v>High</v>
      </c>
      <c r="J153" s="11"/>
      <c r="K153" s="11" t="str">
        <f>IFERROR(__xludf.DUMMYFUNCTION("""COMPUTED_VALUE"""),"Drill-bushing stock ordered")</f>
        <v>Drill-bushing stock ordered</v>
      </c>
      <c r="L153" s="11"/>
      <c r="M153" s="11" t="str">
        <f>IFERROR(__xludf.DUMMYFUNCTION("""COMPUTED_VALUE"""),"A01 - Monocoque")</f>
        <v>A01 - Monocoque</v>
      </c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 t="str">
        <f>IFERROR(__xludf.DUMMYFUNCTION("""COMPUTED_VALUE"""),"MO_A01_T011")</f>
        <v>MO_A01_T011</v>
      </c>
      <c r="B154" s="11" t="str">
        <f>IFERROR(__xludf.DUMMYFUNCTION("""COMPUTED_VALUE"""),"Drill monocoque holes using jigs")</f>
        <v>Drill monocoque holes using jigs</v>
      </c>
      <c r="C154" s="11" t="str">
        <f>IFERROR(__xludf.DUMMYFUNCTION("""COMPUTED_VALUE"""),"Monocoque")</f>
        <v>Monocoque</v>
      </c>
      <c r="D154" s="20">
        <f>IFERROR(__xludf.DUMMYFUNCTION("""COMPUTED_VALUE"""),46327.0)</f>
        <v>46327</v>
      </c>
      <c r="E154" s="20">
        <f>IFERROR(__xludf.DUMMYFUNCTION("""COMPUTED_VALUE"""),46329.0)</f>
        <v>46329</v>
      </c>
      <c r="F154" s="11" t="str">
        <f>IFERROR(__xludf.DUMMYFUNCTION("""COMPUTED_VALUE"""),"Not Started")</f>
        <v>Not Started</v>
      </c>
      <c r="G154" s="11"/>
      <c r="H154" s="11" t="str">
        <f>IFERROR(__xludf.DUMMYFUNCTION("""COMPUTED_VALUE"""),"Katherine Collard")</f>
        <v>Katherine Collard</v>
      </c>
      <c r="I154" s="11" t="str">
        <f>IFERROR(__xludf.DUMMYFUNCTION("""COMPUTED_VALUE"""),"Critical")</f>
        <v>Critical</v>
      </c>
      <c r="J154" s="11"/>
      <c r="K154" s="11" t="str">
        <f>IFERROR(__xludf.DUMMYFUNCTION("""COMPUTED_VALUE"""),"Monocoque holes drilled to jig")</f>
        <v>Monocoque holes drilled to jig</v>
      </c>
      <c r="L154" s="11" t="str">
        <f>IFERROR(__xludf.DUMMYFUNCTION("""COMPUTED_VALUE"""),"Assumes continuous labor support.")</f>
        <v>Assumes continuous labor support.</v>
      </c>
      <c r="M154" s="11" t="str">
        <f>IFERROR(__xludf.DUMMYFUNCTION("""COMPUTED_VALUE"""),"A01 - Monocoque")</f>
        <v>A01 - Monocoque</v>
      </c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 t="str">
        <f>IFERROR(__xludf.DUMMYFUNCTION("""COMPUTED_VALUE"""),"MO_A01_T012")</f>
        <v>MO_A01_T012</v>
      </c>
      <c r="B155" s="11" t="str">
        <f>IFERROR(__xludf.DUMMYFUNCTION("""COMPUTED_VALUE"""),"Finish new-plug-to-post-process sequence")</f>
        <v>Finish new-plug-to-post-process sequence</v>
      </c>
      <c r="C155" s="11" t="str">
        <f>IFERROR(__xludf.DUMMYFUNCTION("""COMPUTED_VALUE"""),"Monocoque")</f>
        <v>Monocoque</v>
      </c>
      <c r="D155" s="20">
        <f>IFERROR(__xludf.DUMMYFUNCTION("""COMPUTED_VALUE"""),46314.0)</f>
        <v>46314</v>
      </c>
      <c r="E155" s="20">
        <f>IFERROR(__xludf.DUMMYFUNCTION("""COMPUTED_VALUE"""),46330.0)</f>
        <v>46330</v>
      </c>
      <c r="F155" s="11" t="str">
        <f>IFERROR(__xludf.DUMMYFUNCTION("""COMPUTED_VALUE"""),"Not Started")</f>
        <v>Not Started</v>
      </c>
      <c r="G155" s="11"/>
      <c r="H155" s="11" t="str">
        <f>IFERROR(__xludf.DUMMYFUNCTION("""COMPUTED_VALUE"""),"Katherine Collard")</f>
        <v>Katherine Collard</v>
      </c>
      <c r="I155" s="11" t="str">
        <f>IFERROR(__xludf.DUMMYFUNCTION("""COMPUTED_VALUE"""),"Critical")</f>
        <v>Critical</v>
      </c>
      <c r="J155" s="11"/>
      <c r="K155" s="11" t="str">
        <f>IFERROR(__xludf.DUMMYFUNCTION("""COMPUTED_VALUE"""),"Post-processed plug")</f>
        <v>Post-processed plug</v>
      </c>
      <c r="L155" s="11" t="str">
        <f>IFERROR(__xludf.DUMMYFUNCTION("""COMPUTED_VALUE"""),"Calendar indicates a 16-day duration.")</f>
        <v>Calendar indicates a 16-day duration.</v>
      </c>
      <c r="M155" s="11" t="str">
        <f>IFERROR(__xludf.DUMMYFUNCTION("""COMPUTED_VALUE"""),"A01 - Monocoque")</f>
        <v>A01 - Monocoque</v>
      </c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 t="str">
        <f>IFERROR(__xludf.DUMMYFUNCTION("""COMPUTED_VALUE"""),"MO_A01_T013")</f>
        <v>MO_A01_T013</v>
      </c>
      <c r="B156" s="11" t="str">
        <f>IFERROR(__xludf.DUMMYFUNCTION("""COMPUTED_VALUE"""),"Manufacture all drill bushings")</f>
        <v>Manufacture all drill bushings</v>
      </c>
      <c r="C156" s="11" t="str">
        <f>IFERROR(__xludf.DUMMYFUNCTION("""COMPUTED_VALUE"""),"Monocoque")</f>
        <v>Monocoque</v>
      </c>
      <c r="D156" s="20">
        <f>IFERROR(__xludf.DUMMYFUNCTION("""COMPUTED_VALUE"""),46332.0)</f>
        <v>46332</v>
      </c>
      <c r="E156" s="20">
        <f>IFERROR(__xludf.DUMMYFUNCTION("""COMPUTED_VALUE"""),46332.0)</f>
        <v>46332</v>
      </c>
      <c r="F156" s="11" t="str">
        <f>IFERROR(__xludf.DUMMYFUNCTION("""COMPUTED_VALUE"""),"Not Started")</f>
        <v>Not Started</v>
      </c>
      <c r="G156" s="11"/>
      <c r="H156" s="11" t="str">
        <f>IFERROR(__xludf.DUMMYFUNCTION("""COMPUTED_VALUE"""),"Katherine Collard")</f>
        <v>Katherine Collard</v>
      </c>
      <c r="I156" s="11" t="str">
        <f>IFERROR(__xludf.DUMMYFUNCTION("""COMPUTED_VALUE"""),"Critical")</f>
        <v>Critical</v>
      </c>
      <c r="J156" s="11"/>
      <c r="K156" s="11" t="str">
        <f>IFERROR(__xludf.DUMMYFUNCTION("""COMPUTED_VALUE"""),"Completed drill bushings")</f>
        <v>Completed drill bushings</v>
      </c>
      <c r="L156" s="11"/>
      <c r="M156" s="11" t="str">
        <f>IFERROR(__xludf.DUMMYFUNCTION("""COMPUTED_VALUE"""),"A01 - Monocoque")</f>
        <v>A01 - Monocoque</v>
      </c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 t="str">
        <f>IFERROR(__xludf.DUMMYFUNCTION("""COMPUTED_VALUE"""),"MO_A01_T014")</f>
        <v>MO_A01_T014</v>
      </c>
      <c r="B157" s="11" t="str">
        <f>IFERROR(__xludf.DUMMYFUNCTION("""COMPUTED_VALUE"""),"Prepare all materials for mold manufacturing")</f>
        <v>Prepare all materials for mold manufacturing</v>
      </c>
      <c r="C157" s="11" t="str">
        <f>IFERROR(__xludf.DUMMYFUNCTION("""COMPUTED_VALUE"""),"Monocoque")</f>
        <v>Monocoque</v>
      </c>
      <c r="D157" s="20">
        <f>IFERROR(__xludf.DUMMYFUNCTION("""COMPUTED_VALUE"""),46333.0)</f>
        <v>46333</v>
      </c>
      <c r="E157" s="20">
        <f>IFERROR(__xludf.DUMMYFUNCTION("""COMPUTED_VALUE"""),46333.0)</f>
        <v>46333</v>
      </c>
      <c r="F157" s="11" t="str">
        <f>IFERROR(__xludf.DUMMYFUNCTION("""COMPUTED_VALUE"""),"Not Started")</f>
        <v>Not Started</v>
      </c>
      <c r="G157" s="11"/>
      <c r="H157" s="11" t="str">
        <f>IFERROR(__xludf.DUMMYFUNCTION("""COMPUTED_VALUE"""),"Katherine Collard")</f>
        <v>Katherine Collard</v>
      </c>
      <c r="I157" s="11" t="str">
        <f>IFERROR(__xludf.DUMMYFUNCTION("""COMPUTED_VALUE"""),"Critical")</f>
        <v>Critical</v>
      </c>
      <c r="J157" s="11"/>
      <c r="K157" s="11" t="str">
        <f>IFERROR(__xludf.DUMMYFUNCTION("""COMPUTED_VALUE"""),"Mold manufacturing material kit")</f>
        <v>Mold manufacturing material kit</v>
      </c>
      <c r="L157" s="11"/>
      <c r="M157" s="11" t="str">
        <f>IFERROR(__xludf.DUMMYFUNCTION("""COMPUTED_VALUE"""),"A01 - Monocoque")</f>
        <v>A01 - Monocoque</v>
      </c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 t="str">
        <f>IFERROR(__xludf.DUMMYFUNCTION("""COMPUTED_VALUE"""),"MO_A01_T015")</f>
        <v>MO_A01_T015</v>
      </c>
      <c r="B158" s="11" t="str">
        <f>IFERROR(__xludf.DUMMYFUNCTION("""COMPUTED_VALUE"""),"Complete puck development")</f>
        <v>Complete puck development</v>
      </c>
      <c r="C158" s="11" t="str">
        <f>IFERROR(__xludf.DUMMYFUNCTION("""COMPUTED_VALUE"""),"Monocoque")</f>
        <v>Monocoque</v>
      </c>
      <c r="D158" s="20">
        <f>IFERROR(__xludf.DUMMYFUNCTION("""COMPUTED_VALUE"""),46334.0)</f>
        <v>46334</v>
      </c>
      <c r="E158" s="20">
        <f>IFERROR(__xludf.DUMMYFUNCTION("""COMPUTED_VALUE"""),46334.0)</f>
        <v>46334</v>
      </c>
      <c r="F158" s="11" t="str">
        <f>IFERROR(__xludf.DUMMYFUNCTION("""COMPUTED_VALUE"""),"Not Started")</f>
        <v>Not Started</v>
      </c>
      <c r="G158" s="11"/>
      <c r="H158" s="11" t="str">
        <f>IFERROR(__xludf.DUMMYFUNCTION("""COMPUTED_VALUE"""),"Katherine Collard")</f>
        <v>Katherine Collard</v>
      </c>
      <c r="I158" s="11" t="str">
        <f>IFERROR(__xludf.DUMMYFUNCTION("""COMPUTED_VALUE"""),"High")</f>
        <v>High</v>
      </c>
      <c r="J158" s="11"/>
      <c r="K158" s="11" t="str">
        <f>IFERROR(__xludf.DUMMYFUNCTION("""COMPUTED_VALUE"""),"Puck design/manufacturing progress")</f>
        <v>Puck design/manufacturing progress</v>
      </c>
      <c r="L158" s="11" t="str">
        <f>IFERROR(__xludf.DUMMYFUNCTION("""COMPUTED_VALUE"""),"Calendar note is tentative.")</f>
        <v>Calendar note is tentative.</v>
      </c>
      <c r="M158" s="11" t="str">
        <f>IFERROR(__xludf.DUMMYFUNCTION("""COMPUTED_VALUE"""),"A01 - Monocoque")</f>
        <v>A01 - Monocoque</v>
      </c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 t="str">
        <f>IFERROR(__xludf.DUMMYFUNCTION("""COMPUTED_VALUE"""),"MO_A01_T016")</f>
        <v>MO_A01_T016</v>
      </c>
      <c r="B159" s="11" t="str">
        <f>IFERROR(__xludf.DUMMYFUNCTION("""COMPUTED_VALUE"""),"Finish plug preparation")</f>
        <v>Finish plug preparation</v>
      </c>
      <c r="C159" s="11" t="str">
        <f>IFERROR(__xludf.DUMMYFUNCTION("""COMPUTED_VALUE"""),"Monocoque")</f>
        <v>Monocoque</v>
      </c>
      <c r="D159" s="20">
        <f>IFERROR(__xludf.DUMMYFUNCTION("""COMPUTED_VALUE"""),46337.0)</f>
        <v>46337</v>
      </c>
      <c r="E159" s="20">
        <f>IFERROR(__xludf.DUMMYFUNCTION("""COMPUTED_VALUE"""),46337.0)</f>
        <v>46337</v>
      </c>
      <c r="F159" s="11" t="str">
        <f>IFERROR(__xludf.DUMMYFUNCTION("""COMPUTED_VALUE"""),"Not Started")</f>
        <v>Not Started</v>
      </c>
      <c r="G159" s="11"/>
      <c r="H159" s="11" t="str">
        <f>IFERROR(__xludf.DUMMYFUNCTION("""COMPUTED_VALUE"""),"Katherine Collard")</f>
        <v>Katherine Collard</v>
      </c>
      <c r="I159" s="11" t="str">
        <f>IFERROR(__xludf.DUMMYFUNCTION("""COMPUTED_VALUE"""),"Critical")</f>
        <v>Critical</v>
      </c>
      <c r="J159" s="11"/>
      <c r="K159" s="11" t="str">
        <f>IFERROR(__xludf.DUMMYFUNCTION("""COMPUTED_VALUE"""),"Plug ready for mold manufacture")</f>
        <v>Plug ready for mold manufacture</v>
      </c>
      <c r="L159" s="11"/>
      <c r="M159" s="11" t="str">
        <f>IFERROR(__xludf.DUMMYFUNCTION("""COMPUTED_VALUE"""),"A01 - Monocoque")</f>
        <v>A01 - Monocoque</v>
      </c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 t="str">
        <f>IFERROR(__xludf.DUMMYFUNCTION("""COMPUTED_VALUE"""),"MO_A01_T017")</f>
        <v>MO_A01_T017</v>
      </c>
      <c r="B160" s="11" t="str">
        <f>IFERROR(__xludf.DUMMYFUNCTION("""COMPUTED_VALUE"""),"Attempt wet-layup mold if ahead of schedule")</f>
        <v>Attempt wet-layup mold if ahead of schedule</v>
      </c>
      <c r="C160" s="11" t="str">
        <f>IFERROR(__xludf.DUMMYFUNCTION("""COMPUTED_VALUE"""),"Monocoque")</f>
        <v>Monocoque</v>
      </c>
      <c r="D160" s="20">
        <f>IFERROR(__xludf.DUMMYFUNCTION("""COMPUTED_VALUE"""),46340.0)</f>
        <v>46340</v>
      </c>
      <c r="E160" s="20">
        <f>IFERROR(__xludf.DUMMYFUNCTION("""COMPUTED_VALUE"""),46341.0)</f>
        <v>46341</v>
      </c>
      <c r="F160" s="11" t="str">
        <f>IFERROR(__xludf.DUMMYFUNCTION("""COMPUTED_VALUE"""),"Not Started")</f>
        <v>Not Started</v>
      </c>
      <c r="G160" s="11"/>
      <c r="H160" s="11" t="str">
        <f>IFERROR(__xludf.DUMMYFUNCTION("""COMPUTED_VALUE"""),"Katherine Collard")</f>
        <v>Katherine Collard</v>
      </c>
      <c r="I160" s="11" t="str">
        <f>IFERROR(__xludf.DUMMYFUNCTION("""COMPUTED_VALUE"""),"Low")</f>
        <v>Low</v>
      </c>
      <c r="J160" s="11"/>
      <c r="K160" s="11" t="str">
        <f>IFERROR(__xludf.DUMMYFUNCTION("""COMPUTED_VALUE"""),"Optional wet-layup mold trial")</f>
        <v>Optional wet-layup mold trial</v>
      </c>
      <c r="L160" s="11" t="str">
        <f>IFERROR(__xludf.DUMMYFUNCTION("""COMPUTED_VALUE"""),"Stretch task; potentially both molds.")</f>
        <v>Stretch task; potentially both molds.</v>
      </c>
      <c r="M160" s="11" t="str">
        <f>IFERROR(__xludf.DUMMYFUNCTION("""COMPUTED_VALUE"""),"A01 - Monocoque")</f>
        <v>A01 - Monocoque</v>
      </c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 t="str">
        <f>IFERROR(__xludf.DUMMYFUNCTION("""COMPUTED_VALUE"""),"MO_A01_T018")</f>
        <v>MO_A01_T018</v>
      </c>
      <c r="B161" s="11" t="str">
        <f>IFERROR(__xludf.DUMMYFUNCTION("""COMPUTED_VALUE"""),"Release first mold")</f>
        <v>Release first mold</v>
      </c>
      <c r="C161" s="11" t="str">
        <f>IFERROR(__xludf.DUMMYFUNCTION("""COMPUTED_VALUE"""),"Monocoque")</f>
        <v>Monocoque</v>
      </c>
      <c r="D161" s="20">
        <f>IFERROR(__xludf.DUMMYFUNCTION("""COMPUTED_VALUE"""),46345.0)</f>
        <v>46345</v>
      </c>
      <c r="E161" s="20">
        <f>IFERROR(__xludf.DUMMYFUNCTION("""COMPUTED_VALUE"""),46345.0)</f>
        <v>46345</v>
      </c>
      <c r="F161" s="11" t="str">
        <f>IFERROR(__xludf.DUMMYFUNCTION("""COMPUTED_VALUE"""),"Not Started")</f>
        <v>Not Started</v>
      </c>
      <c r="G161" s="11"/>
      <c r="H161" s="11" t="str">
        <f>IFERROR(__xludf.DUMMYFUNCTION("""COMPUTED_VALUE"""),"Katherine Collard")</f>
        <v>Katherine Collard</v>
      </c>
      <c r="I161" s="11" t="str">
        <f>IFERROR(__xludf.DUMMYFUNCTION("""COMPUTED_VALUE"""),"High")</f>
        <v>High</v>
      </c>
      <c r="J161" s="11"/>
      <c r="K161" s="11" t="str">
        <f>IFERROR(__xludf.DUMMYFUNCTION("""COMPUTED_VALUE"""),"First mold released")</f>
        <v>First mold released</v>
      </c>
      <c r="L161" s="11"/>
      <c r="M161" s="11" t="str">
        <f>IFERROR(__xludf.DUMMYFUNCTION("""COMPUTED_VALUE"""),"A01 - Monocoque")</f>
        <v>A01 - Monocoque</v>
      </c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 t="str">
        <f>IFERROR(__xludf.DUMMYFUNCTION("""COMPUTED_VALUE"""),"MO_A01_T019")</f>
        <v>MO_A01_T019</v>
      </c>
      <c r="B162" s="11" t="str">
        <f>IFERROR(__xludf.DUMMYFUNCTION("""COMPUTED_VALUE"""),"Prepare everything required for mold layup")</f>
        <v>Prepare everything required for mold layup</v>
      </c>
      <c r="C162" s="11" t="str">
        <f>IFERROR(__xludf.DUMMYFUNCTION("""COMPUTED_VALUE"""),"Monocoque")</f>
        <v>Monocoque</v>
      </c>
      <c r="D162" s="20">
        <f>IFERROR(__xludf.DUMMYFUNCTION("""COMPUTED_VALUE"""),46356.0)</f>
        <v>46356</v>
      </c>
      <c r="E162" s="20">
        <f>IFERROR(__xludf.DUMMYFUNCTION("""COMPUTED_VALUE"""),46356.0)</f>
        <v>46356</v>
      </c>
      <c r="F162" s="11" t="str">
        <f>IFERROR(__xludf.DUMMYFUNCTION("""COMPUTED_VALUE"""),"Not Started")</f>
        <v>Not Started</v>
      </c>
      <c r="G162" s="11"/>
      <c r="H162" s="11" t="str">
        <f>IFERROR(__xludf.DUMMYFUNCTION("""COMPUTED_VALUE"""),"Katherine Collard")</f>
        <v>Katherine Collard</v>
      </c>
      <c r="I162" s="11" t="str">
        <f>IFERROR(__xludf.DUMMYFUNCTION("""COMPUTED_VALUE"""),"Critical")</f>
        <v>Critical</v>
      </c>
      <c r="J162" s="11"/>
      <c r="K162" s="11" t="str">
        <f>IFERROR(__xludf.DUMMYFUNCTION("""COMPUTED_VALUE"""),"Mold layup readiness sign-off")</f>
        <v>Mold layup readiness sign-off</v>
      </c>
      <c r="L162" s="11"/>
      <c r="M162" s="11" t="str">
        <f>IFERROR(__xludf.DUMMYFUNCTION("""COMPUTED_VALUE"""),"A01 - Monocoque")</f>
        <v>A01 - Monocoque</v>
      </c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 t="str">
        <f>IFERROR(__xludf.DUMMYFUNCTION("""COMPUTED_VALUE"""),"MO_A01_T020")</f>
        <v>MO_A01_T020</v>
      </c>
      <c r="B163" s="11" t="str">
        <f>IFERROR(__xludf.DUMMYFUNCTION("""COMPUTED_VALUE"""),"Post-process molds")</f>
        <v>Post-process molds</v>
      </c>
      <c r="C163" s="11" t="str">
        <f>IFERROR(__xludf.DUMMYFUNCTION("""COMPUTED_VALUE"""),"Monocoque")</f>
        <v>Monocoque</v>
      </c>
      <c r="D163" s="20">
        <f>IFERROR(__xludf.DUMMYFUNCTION("""COMPUTED_VALUE"""),46358.0)</f>
        <v>46358</v>
      </c>
      <c r="E163" s="20">
        <f>IFERROR(__xludf.DUMMYFUNCTION("""COMPUTED_VALUE"""),46358.0)</f>
        <v>46358</v>
      </c>
      <c r="F163" s="11" t="str">
        <f>IFERROR(__xludf.DUMMYFUNCTION("""COMPUTED_VALUE"""),"Not Started")</f>
        <v>Not Started</v>
      </c>
      <c r="G163" s="11"/>
      <c r="H163" s="11" t="str">
        <f>IFERROR(__xludf.DUMMYFUNCTION("""COMPUTED_VALUE"""),"Katherine Collard")</f>
        <v>Katherine Collard</v>
      </c>
      <c r="I163" s="11" t="str">
        <f>IFERROR(__xludf.DUMMYFUNCTION("""COMPUTED_VALUE"""),"High")</f>
        <v>High</v>
      </c>
      <c r="J163" s="11"/>
      <c r="K163" s="11" t="str">
        <f>IFERROR(__xludf.DUMMYFUNCTION("""COMPUTED_VALUE"""),"Post-processed molds")</f>
        <v>Post-processed molds</v>
      </c>
      <c r="L163" s="11"/>
      <c r="M163" s="11" t="str">
        <f>IFERROR(__xludf.DUMMYFUNCTION("""COMPUTED_VALUE"""),"A01 - Monocoque")</f>
        <v>A01 - Monocoque</v>
      </c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 t="str">
        <f>IFERROR(__xludf.DUMMYFUNCTION("""COMPUTED_VALUE"""),"MO_A01_T021")</f>
        <v>MO_A01_T021</v>
      </c>
      <c r="B164" s="11" t="str">
        <f>IFERROR(__xludf.DUMMYFUNCTION("""COMPUTED_VALUE"""),"Prepare molds, oven, carbon kits, and tooling for JanMan")</f>
        <v>Prepare molds, oven, carbon kits, and tooling for JanMan</v>
      </c>
      <c r="C164" s="11" t="str">
        <f>IFERROR(__xludf.DUMMYFUNCTION("""COMPUTED_VALUE"""),"Monocoque")</f>
        <v>Monocoque</v>
      </c>
      <c r="D164" s="20">
        <f>IFERROR(__xludf.DUMMYFUNCTION("""COMPUTED_VALUE"""),46391.0)</f>
        <v>46391</v>
      </c>
      <c r="E164" s="20">
        <f>IFERROR(__xludf.DUMMYFUNCTION("""COMPUTED_VALUE"""),46393.0)</f>
        <v>46393</v>
      </c>
      <c r="F164" s="11" t="str">
        <f>IFERROR(__xludf.DUMMYFUNCTION("""COMPUTED_VALUE"""),"Not Started")</f>
        <v>Not Started</v>
      </c>
      <c r="G164" s="11"/>
      <c r="H164" s="11" t="str">
        <f>IFERROR(__xludf.DUMMYFUNCTION("""COMPUTED_VALUE"""),"Katherine Collard")</f>
        <v>Katherine Collard</v>
      </c>
      <c r="I164" s="11" t="str">
        <f>IFERROR(__xludf.DUMMYFUNCTION("""COMPUTED_VALUE"""),"Critical")</f>
        <v>Critical</v>
      </c>
      <c r="J164" s="11"/>
      <c r="K164" s="11" t="str">
        <f>IFERROR(__xludf.DUMMYFUNCTION("""COMPUTED_VALUE"""),"JanMan manufacturing readiness")</f>
        <v>JanMan manufacturing readiness</v>
      </c>
      <c r="L164" s="11"/>
      <c r="M164" s="11" t="str">
        <f>IFERROR(__xludf.DUMMYFUNCTION("""COMPUTED_VALUE"""),"A01 - Monocoque")</f>
        <v>A01 - Monocoque</v>
      </c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 t="str">
        <f>IFERROR(__xludf.DUMMYFUNCTION("""COMPUTED_VALUE"""),"MO_A01_T022")</f>
        <v>MO_A01_T022</v>
      </c>
      <c r="B165" s="11" t="str">
        <f>IFERROR(__xludf.DUMMYFUNCTION("""COMPUTED_VALUE"""),"Lay up first monocoque skin")</f>
        <v>Lay up first monocoque skin</v>
      </c>
      <c r="C165" s="11" t="str">
        <f>IFERROR(__xludf.DUMMYFUNCTION("""COMPUTED_VALUE"""),"Monocoque")</f>
        <v>Monocoque</v>
      </c>
      <c r="D165" s="20">
        <f>IFERROR(__xludf.DUMMYFUNCTION("""COMPUTED_VALUE"""),46394.0)</f>
        <v>46394</v>
      </c>
      <c r="E165" s="20">
        <f>IFERROR(__xludf.DUMMYFUNCTION("""COMPUTED_VALUE"""),46396.0)</f>
        <v>46396</v>
      </c>
      <c r="F165" s="11" t="str">
        <f>IFERROR(__xludf.DUMMYFUNCTION("""COMPUTED_VALUE"""),"Not Started")</f>
        <v>Not Started</v>
      </c>
      <c r="G165" s="11"/>
      <c r="H165" s="11" t="str">
        <f>IFERROR(__xludf.DUMMYFUNCTION("""COMPUTED_VALUE"""),"Katherine Collard")</f>
        <v>Katherine Collard</v>
      </c>
      <c r="I165" s="11" t="str">
        <f>IFERROR(__xludf.DUMMYFUNCTION("""COMPUTED_VALUE"""),"Critical")</f>
        <v>Critical</v>
      </c>
      <c r="J165" s="11"/>
      <c r="K165" s="11" t="str">
        <f>IFERROR(__xludf.DUMMYFUNCTION("""COMPUTED_VALUE"""),"First skin laid up")</f>
        <v>First skin laid up</v>
      </c>
      <c r="L165" s="11"/>
      <c r="M165" s="11" t="str">
        <f>IFERROR(__xludf.DUMMYFUNCTION("""COMPUTED_VALUE"""),"A01 - Monocoque")</f>
        <v>A01 - Monocoque</v>
      </c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 t="str">
        <f>IFERROR(__xludf.DUMMYFUNCTION("""COMPUTED_VALUE"""),"MO_A01_T023")</f>
        <v>MO_A01_T023</v>
      </c>
      <c r="B166" s="11" t="str">
        <f>IFERROR(__xludf.DUMMYFUNCTION("""COMPUTED_VALUE"""),"Complete first cure and oven cycle")</f>
        <v>Complete first cure and oven cycle</v>
      </c>
      <c r="C166" s="11" t="str">
        <f>IFERROR(__xludf.DUMMYFUNCTION("""COMPUTED_VALUE"""),"Monocoque")</f>
        <v>Monocoque</v>
      </c>
      <c r="D166" s="20">
        <f>IFERROR(__xludf.DUMMYFUNCTION("""COMPUTED_VALUE"""),46397.0)</f>
        <v>46397</v>
      </c>
      <c r="E166" s="20">
        <f>IFERROR(__xludf.DUMMYFUNCTION("""COMPUTED_VALUE"""),46397.0)</f>
        <v>46397</v>
      </c>
      <c r="F166" s="11" t="str">
        <f>IFERROR(__xludf.DUMMYFUNCTION("""COMPUTED_VALUE"""),"Not Started")</f>
        <v>Not Started</v>
      </c>
      <c r="G166" s="11"/>
      <c r="H166" s="11" t="str">
        <f>IFERROR(__xludf.DUMMYFUNCTION("""COMPUTED_VALUE"""),"Katherine Collard")</f>
        <v>Katherine Collard</v>
      </c>
      <c r="I166" s="11" t="str">
        <f>IFERROR(__xludf.DUMMYFUNCTION("""COMPUTED_VALUE"""),"Critical")</f>
        <v>Critical</v>
      </c>
      <c r="J166" s="11"/>
      <c r="K166" s="11" t="str">
        <f>IFERROR(__xludf.DUMMYFUNCTION("""COMPUTED_VALUE"""),"First skin cured")</f>
        <v>First skin cured</v>
      </c>
      <c r="L166" s="11"/>
      <c r="M166" s="11" t="str">
        <f>IFERROR(__xludf.DUMMYFUNCTION("""COMPUTED_VALUE"""),"A01 - Monocoque")</f>
        <v>A01 - Monocoque</v>
      </c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 t="str">
        <f>IFERROR(__xludf.DUMMYFUNCTION("""COMPUTED_VALUE"""),"MO_A01_T024")</f>
        <v>MO_A01_T024</v>
      </c>
      <c r="B167" s="11" t="str">
        <f>IFERROR(__xludf.DUMMYFUNCTION("""COMPUTED_VALUE"""),"Install and bond core")</f>
        <v>Install and bond core</v>
      </c>
      <c r="C167" s="11" t="str">
        <f>IFERROR(__xludf.DUMMYFUNCTION("""COMPUTED_VALUE"""),"Monocoque")</f>
        <v>Monocoque</v>
      </c>
      <c r="D167" s="20">
        <f>IFERROR(__xludf.DUMMYFUNCTION("""COMPUTED_VALUE"""),46398.0)</f>
        <v>46398</v>
      </c>
      <c r="E167" s="20">
        <f>IFERROR(__xludf.DUMMYFUNCTION("""COMPUTED_VALUE"""),46400.0)</f>
        <v>46400</v>
      </c>
      <c r="F167" s="11" t="str">
        <f>IFERROR(__xludf.DUMMYFUNCTION("""COMPUTED_VALUE"""),"Not Started")</f>
        <v>Not Started</v>
      </c>
      <c r="G167" s="11"/>
      <c r="H167" s="11" t="str">
        <f>IFERROR(__xludf.DUMMYFUNCTION("""COMPUTED_VALUE"""),"Katherine Collard")</f>
        <v>Katherine Collard</v>
      </c>
      <c r="I167" s="11" t="str">
        <f>IFERROR(__xludf.DUMMYFUNCTION("""COMPUTED_VALUE"""),"Critical")</f>
        <v>Critical</v>
      </c>
      <c r="J167" s="11"/>
      <c r="K167" s="11" t="str">
        <f>IFERROR(__xludf.DUMMYFUNCTION("""COMPUTED_VALUE"""),"Core installed")</f>
        <v>Core installed</v>
      </c>
      <c r="L167" s="11" t="str">
        <f>IFERROR(__xludf.DUMMYFUNCTION("""COMPUTED_VALUE"""),"SES due date uncertainty noted on Jan. 12.")</f>
        <v>SES due date uncertainty noted on Jan. 12.</v>
      </c>
      <c r="M167" s="11" t="str">
        <f>IFERROR(__xludf.DUMMYFUNCTION("""COMPUTED_VALUE"""),"A01 - Monocoque")</f>
        <v>A01 - Monocoque</v>
      </c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 t="str">
        <f>IFERROR(__xludf.DUMMYFUNCTION("""COMPUTED_VALUE"""),"MO_A01_T025")</f>
        <v>MO_A01_T025</v>
      </c>
      <c r="B168" s="11" t="str">
        <f>IFERROR(__xludf.DUMMYFUNCTION("""COMPUTED_VALUE"""),"Lay up second monocoque skin")</f>
        <v>Lay up second monocoque skin</v>
      </c>
      <c r="C168" s="11" t="str">
        <f>IFERROR(__xludf.DUMMYFUNCTION("""COMPUTED_VALUE"""),"Monocoque")</f>
        <v>Monocoque</v>
      </c>
      <c r="D168" s="20">
        <f>IFERROR(__xludf.DUMMYFUNCTION("""COMPUTED_VALUE"""),46401.0)</f>
        <v>46401</v>
      </c>
      <c r="E168" s="20">
        <f>IFERROR(__xludf.DUMMYFUNCTION("""COMPUTED_VALUE"""),46403.0)</f>
        <v>46403</v>
      </c>
      <c r="F168" s="11" t="str">
        <f>IFERROR(__xludf.DUMMYFUNCTION("""COMPUTED_VALUE"""),"Not Started")</f>
        <v>Not Started</v>
      </c>
      <c r="G168" s="11"/>
      <c r="H168" s="11" t="str">
        <f>IFERROR(__xludf.DUMMYFUNCTION("""COMPUTED_VALUE"""),"Katherine Collard")</f>
        <v>Katherine Collard</v>
      </c>
      <c r="I168" s="11" t="str">
        <f>IFERROR(__xludf.DUMMYFUNCTION("""COMPUTED_VALUE"""),"Critical")</f>
        <v>Critical</v>
      </c>
      <c r="J168" s="11"/>
      <c r="K168" s="11" t="str">
        <f>IFERROR(__xludf.DUMMYFUNCTION("""COMPUTED_VALUE"""),"Second skin laid up")</f>
        <v>Second skin laid up</v>
      </c>
      <c r="L168" s="11"/>
      <c r="M168" s="11" t="str">
        <f>IFERROR(__xludf.DUMMYFUNCTION("""COMPUTED_VALUE"""),"A01 - Monocoque")</f>
        <v>A01 - Monocoque</v>
      </c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 t="str">
        <f>IFERROR(__xludf.DUMMYFUNCTION("""COMPUTED_VALUE"""),"MO_A01_T026")</f>
        <v>MO_A01_T026</v>
      </c>
      <c r="B169" s="11" t="str">
        <f>IFERROR(__xludf.DUMMYFUNCTION("""COMPUTED_VALUE"""),"Complete final cure")</f>
        <v>Complete final cure</v>
      </c>
      <c r="C169" s="11" t="str">
        <f>IFERROR(__xludf.DUMMYFUNCTION("""COMPUTED_VALUE"""),"Monocoque")</f>
        <v>Monocoque</v>
      </c>
      <c r="D169" s="20">
        <f>IFERROR(__xludf.DUMMYFUNCTION("""COMPUTED_VALUE"""),46404.0)</f>
        <v>46404</v>
      </c>
      <c r="E169" s="20">
        <f>IFERROR(__xludf.DUMMYFUNCTION("""COMPUTED_VALUE"""),46404.0)</f>
        <v>46404</v>
      </c>
      <c r="F169" s="11" t="str">
        <f>IFERROR(__xludf.DUMMYFUNCTION("""COMPUTED_VALUE"""),"Not Started")</f>
        <v>Not Started</v>
      </c>
      <c r="G169" s="11"/>
      <c r="H169" s="11" t="str">
        <f>IFERROR(__xludf.DUMMYFUNCTION("""COMPUTED_VALUE"""),"Katherine Collard")</f>
        <v>Katherine Collard</v>
      </c>
      <c r="I169" s="11" t="str">
        <f>IFERROR(__xludf.DUMMYFUNCTION("""COMPUTED_VALUE"""),"Critical")</f>
        <v>Critical</v>
      </c>
      <c r="J169" s="11"/>
      <c r="K169" s="11" t="str">
        <f>IFERROR(__xludf.DUMMYFUNCTION("""COMPUTED_VALUE"""),"Monocoque fully cured")</f>
        <v>Monocoque fully cured</v>
      </c>
      <c r="L169" s="11"/>
      <c r="M169" s="11" t="str">
        <f>IFERROR(__xludf.DUMMYFUNCTION("""COMPUTED_VALUE"""),"A01 - Monocoque")</f>
        <v>A01 - Monocoque</v>
      </c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 t="str">
        <f>IFERROR(__xludf.DUMMYFUNCTION("""COMPUTED_VALUE"""),"MO_A01_T027")</f>
        <v>MO_A01_T027</v>
      </c>
      <c r="B170" s="11" t="str">
        <f>IFERROR(__xludf.DUMMYFUNCTION("""COMPUTED_VALUE"""),"Support powertrain integration")</f>
        <v>Support powertrain integration</v>
      </c>
      <c r="C170" s="11" t="str">
        <f>IFERROR(__xludf.DUMMYFUNCTION("""COMPUTED_VALUE"""),"Monocoque")</f>
        <v>Monocoque</v>
      </c>
      <c r="D170" s="20">
        <f>IFERROR(__xludf.DUMMYFUNCTION("""COMPUTED_VALUE"""),46425.0)</f>
        <v>46425</v>
      </c>
      <c r="E170" s="20">
        <f>IFERROR(__xludf.DUMMYFUNCTION("""COMPUTED_VALUE"""),46425.0)</f>
        <v>46425</v>
      </c>
      <c r="F170" s="11" t="str">
        <f>IFERROR(__xludf.DUMMYFUNCTION("""COMPUTED_VALUE"""),"Not Started")</f>
        <v>Not Started</v>
      </c>
      <c r="G170" s="11"/>
      <c r="H170" s="11" t="str">
        <f>IFERROR(__xludf.DUMMYFUNCTION("""COMPUTED_VALUE"""),"Katherine Collard")</f>
        <v>Katherine Collard</v>
      </c>
      <c r="I170" s="11" t="str">
        <f>IFERROR(__xludf.DUMMYFUNCTION("""COMPUTED_VALUE"""),"High")</f>
        <v>High</v>
      </c>
      <c r="J170" s="11"/>
      <c r="K170" s="11" t="str">
        <f>IFERROR(__xludf.DUMMYFUNCTION("""COMPUTED_VALUE"""),"Powertrain integration support complete")</f>
        <v>Powertrain integration support complete</v>
      </c>
      <c r="L170" s="11"/>
      <c r="M170" s="11" t="str">
        <f>IFERROR(__xludf.DUMMYFUNCTION("""COMPUTED_VALUE"""),"A01 - Monocoque")</f>
        <v>A01 - Monocoque</v>
      </c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 t="str">
        <f>IFERROR(__xludf.DUMMYFUNCTION("""COMPUTED_VALUE"""),"MO_A01_T028")</f>
        <v>MO_A01_T028</v>
      </c>
      <c r="B171" s="11" t="str">
        <f>IFERROR(__xludf.DUMMYFUNCTION("""COMPUTED_VALUE"""),"ANSYS 3 point bend test model")</f>
        <v>ANSYS 3 point bend test model</v>
      </c>
      <c r="C171" s="11" t="str">
        <f>IFERROR(__xludf.DUMMYFUNCTION("""COMPUTED_VALUE"""),"Monocoque")</f>
        <v>Monocoque</v>
      </c>
      <c r="D171" s="20">
        <f>IFERROR(__xludf.DUMMYFUNCTION("""COMPUTED_VALUE"""),46230.0)</f>
        <v>46230</v>
      </c>
      <c r="E171" s="20">
        <f>IFERROR(__xludf.DUMMYFUNCTION("""COMPUTED_VALUE"""),46241.0)</f>
        <v>46241</v>
      </c>
      <c r="F171" s="11" t="str">
        <f>IFERROR(__xludf.DUMMYFUNCTION("""COMPUTED_VALUE"""),"Not Started")</f>
        <v>Not Started</v>
      </c>
      <c r="G171" s="11"/>
      <c r="H171" s="11" t="str">
        <f>IFERROR(__xludf.DUMMYFUNCTION("""COMPUTED_VALUE"""),"Katherine Collard")</f>
        <v>Katherine Collard</v>
      </c>
      <c r="I171" s="11" t="str">
        <f>IFERROR(__xludf.DUMMYFUNCTION("""COMPUTED_VALUE"""),"Medium")</f>
        <v>Medium</v>
      </c>
      <c r="J171" s="11"/>
      <c r="K171" s="11" t="str">
        <f>IFERROR(__xludf.DUMMYFUNCTION("""COMPUTED_VALUE"""),"model that can be easily tested for new data")</f>
        <v>model that can be easily tested for new data</v>
      </c>
      <c r="L171" s="11"/>
      <c r="M171" s="11" t="str">
        <f>IFERROR(__xludf.DUMMYFUNCTION("""COMPUTED_VALUE"""),"A01 - Monocoque")</f>
        <v>A01 - Monocoque</v>
      </c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 t="str">
        <f>IFERROR(__xludf.DUMMYFUNCTION("""COMPUTED_VALUE"""),"MO_A01_T029")</f>
        <v>MO_A01_T029</v>
      </c>
      <c r="B172" s="11" t="str">
        <f>IFERROR(__xludf.DUMMYFUNCTION("""COMPUTED_VALUE"""),"ANSYS Twist Test")</f>
        <v>ANSYS Twist Test</v>
      </c>
      <c r="C172" s="11" t="str">
        <f>IFERROR(__xludf.DUMMYFUNCTION("""COMPUTED_VALUE"""),"Monocoque")</f>
        <v>Monocoque</v>
      </c>
      <c r="D172" s="20">
        <f>IFERROR(__xludf.DUMMYFUNCTION("""COMPUTED_VALUE"""),46230.0)</f>
        <v>46230</v>
      </c>
      <c r="E172" s="20">
        <f>IFERROR(__xludf.DUMMYFUNCTION("""COMPUTED_VALUE"""),46258.0)</f>
        <v>46258</v>
      </c>
      <c r="F172" s="11" t="str">
        <f>IFERROR(__xludf.DUMMYFUNCTION("""COMPUTED_VALUE"""),"Not Started")</f>
        <v>Not Started</v>
      </c>
      <c r="G172" s="11"/>
      <c r="H172" s="11" t="str">
        <f>IFERROR(__xludf.DUMMYFUNCTION("""COMPUTED_VALUE"""),"Katherine Collard")</f>
        <v>Katherine Collard</v>
      </c>
      <c r="I172" s="11" t="str">
        <f>IFERROR(__xludf.DUMMYFUNCTION("""COMPUTED_VALUE"""),"Medium")</f>
        <v>Medium</v>
      </c>
      <c r="J172" s="11"/>
      <c r="K172" s="11"/>
      <c r="L172" s="11"/>
      <c r="M172" s="11" t="str">
        <f>IFERROR(__xludf.DUMMYFUNCTION("""COMPUTED_VALUE"""),"A01 - Monocoque")</f>
        <v>A01 - Monocoque</v>
      </c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 t="str">
        <f>IFERROR(__xludf.DUMMYFUNCTION("""COMPUTED_VALUE"""),"MO_A01_T030")</f>
        <v>MO_A01_T030</v>
      </c>
      <c r="B173" s="11"/>
      <c r="C173" s="11" t="str">
        <f>IFERROR(__xludf.DUMMYFUNCTION("""COMPUTED_VALUE"""),"Monocoque")</f>
        <v>Monocoque</v>
      </c>
      <c r="D173" s="20"/>
      <c r="E173" s="20"/>
      <c r="F173" s="11" t="str">
        <f>IFERROR(__xludf.DUMMYFUNCTION("""COMPUTED_VALUE"""),"Not Started")</f>
        <v>Not Started</v>
      </c>
      <c r="G173" s="11"/>
      <c r="H173" s="11" t="str">
        <f>IFERROR(__xludf.DUMMYFUNCTION("""COMPUTED_VALUE"""),"Katherine Collard")</f>
        <v>Katherine Collard</v>
      </c>
      <c r="I173" s="11" t="str">
        <f>IFERROR(__xludf.DUMMYFUNCTION("""COMPUTED_VALUE"""),"Critical")</f>
        <v>Critical</v>
      </c>
      <c r="J173" s="11"/>
      <c r="K173" s="11" t="str">
        <f>IFERROR(__xludf.DUMMYFUNCTION("""COMPUTED_VALUE"""),"Validated ANSYS 3-point bend model/test plan")</f>
        <v>Validated ANSYS 3-point bend model/test plan</v>
      </c>
      <c r="L173" s="11" t="str">
        <f>IFERROR(__xludf.DUMMYFUNCTION("""COMPUTED_VALUE"""),"Calendar note asks whether testing is complete.")</f>
        <v>Calendar note asks whether testing is complete.</v>
      </c>
      <c r="M173" s="11" t="str">
        <f>IFERROR(__xludf.DUMMYFUNCTION("""COMPUTED_VALUE"""),"A01 - Monocoque")</f>
        <v>A01 - Monocoque</v>
      </c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 t="str">
        <f>IFERROR(__xludf.DUMMYFUNCTION("""COMPUTED_VALUE"""),"MO_A01_T031")</f>
        <v>MO_A01_T031</v>
      </c>
      <c r="B174" s="11"/>
      <c r="C174" s="11" t="str">
        <f>IFERROR(__xludf.DUMMYFUNCTION("""COMPUTED_VALUE"""),"Monocoque")</f>
        <v>Monocoque</v>
      </c>
      <c r="D174" s="20"/>
      <c r="E174" s="20"/>
      <c r="F174" s="11" t="str">
        <f>IFERROR(__xludf.DUMMYFUNCTION("""COMPUTED_VALUE"""),"Not Started")</f>
        <v>Not Started</v>
      </c>
      <c r="G174" s="11"/>
      <c r="H174" s="11" t="str">
        <f>IFERROR(__xludf.DUMMYFUNCTION("""COMPUTED_VALUE"""),"Katherine Collard")</f>
        <v>Katherine Collard</v>
      </c>
      <c r="I174" s="11" t="str">
        <f>IFERROR(__xludf.DUMMYFUNCTION("""COMPUTED_VALUE"""),"Critical")</f>
        <v>Critical</v>
      </c>
      <c r="J174" s="11"/>
      <c r="K174" s="11" t="str">
        <f>IFERROR(__xludf.DUMMYFUNCTION("""COMPUTED_VALUE"""),"Completed 3-point bend simulation set")</f>
        <v>Completed 3-point bend simulation set</v>
      </c>
      <c r="L174" s="11"/>
      <c r="M174" s="11" t="str">
        <f>IFERROR(__xludf.DUMMYFUNCTION("""COMPUTED_VALUE"""),"A01 - Monocoque")</f>
        <v>A01 - Monocoque</v>
      </c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 t="str">
        <f>IFERROR(__xludf.DUMMYFUNCTION("""COMPUTED_VALUE"""),"MO_A02_T001")</f>
        <v>MO_A02_T001</v>
      </c>
      <c r="B175" s="11" t="str">
        <f>IFERROR(__xludf.DUMMYFUNCTION("""COMPUTED_VALUE"""),"Finalize monocoque CAD with points")</f>
        <v>Finalize monocoque CAD with points</v>
      </c>
      <c r="C175" s="11" t="str">
        <f>IFERROR(__xludf.DUMMYFUNCTION("""COMPUTED_VALUE"""),"Monocoque")</f>
        <v>Monocoque</v>
      </c>
      <c r="D175" s="20">
        <f>IFERROR(__xludf.DUMMYFUNCTION("""COMPUTED_VALUE"""),46266.0)</f>
        <v>46266</v>
      </c>
      <c r="E175" s="20">
        <f>IFERROR(__xludf.DUMMYFUNCTION("""COMPUTED_VALUE"""),46314.0)</f>
        <v>46314</v>
      </c>
      <c r="F175" s="11" t="str">
        <f>IFERROR(__xludf.DUMMYFUNCTION("""COMPUTED_VALUE"""),"Not Started")</f>
        <v>Not Started</v>
      </c>
      <c r="G175" s="11"/>
      <c r="H175" s="11" t="str">
        <f>IFERROR(__xludf.DUMMYFUNCTION("""COMPUTED_VALUE"""),"Katherine Collard")</f>
        <v>Katherine Collard</v>
      </c>
      <c r="I175" s="11" t="str">
        <f>IFERROR(__xludf.DUMMYFUNCTION("""COMPUTED_VALUE"""),"Medium")</f>
        <v>Medium</v>
      </c>
      <c r="J175" s="11"/>
      <c r="K175" s="11" t="str">
        <f>IFERROR(__xludf.DUMMYFUNCTION("""COMPUTED_VALUE"""),"Updated monocoque CAD")</f>
        <v>Updated monocoque CAD</v>
      </c>
      <c r="L175" s="11"/>
      <c r="M175" s="11" t="str">
        <f>IFERROR(__xludf.DUMMYFUNCTION("""COMPUTED_VALUE"""),"A02 - MO Geometry")</f>
        <v>A02 - MO Geometry</v>
      </c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 t="str">
        <f>IFERROR(__xludf.DUMMYFUNCTION("""COMPUTED_VALUE"""),"MO_A02_T002")</f>
        <v>MO_A02_T002</v>
      </c>
      <c r="B176" s="11" t="str">
        <f>IFERROR(__xludf.DUMMYFUNCTION("""COMPUTED_VALUE"""),"Update new monocoque CAD geometry")</f>
        <v>Update new monocoque CAD geometry</v>
      </c>
      <c r="C176" s="11" t="str">
        <f>IFERROR(__xludf.DUMMYFUNCTION("""COMPUTED_VALUE"""),"Monocoque")</f>
        <v>Monocoque</v>
      </c>
      <c r="D176" s="20">
        <f>IFERROR(__xludf.DUMMYFUNCTION("""COMPUTED_VALUE"""),46258.0)</f>
        <v>46258</v>
      </c>
      <c r="E176" s="20">
        <f>IFERROR(__xludf.DUMMYFUNCTION("""COMPUTED_VALUE"""),46295.0)</f>
        <v>46295</v>
      </c>
      <c r="F176" s="11" t="str">
        <f>IFERROR(__xludf.DUMMYFUNCTION("""COMPUTED_VALUE"""),"In Progress")</f>
        <v>In Progress</v>
      </c>
      <c r="G176" s="11"/>
      <c r="H176" s="11" t="str">
        <f>IFERROR(__xludf.DUMMYFUNCTION("""COMPUTED_VALUE"""),"Katherine Collard")</f>
        <v>Katherine Collard</v>
      </c>
      <c r="I176" s="11" t="str">
        <f>IFERROR(__xludf.DUMMYFUNCTION("""COMPUTED_VALUE"""),"Medium")</f>
        <v>Medium</v>
      </c>
      <c r="J176" s="11"/>
      <c r="K176" s="11" t="str">
        <f>IFERROR(__xludf.DUMMYFUNCTION("""COMPUTED_VALUE"""),"Updated CAD geometry")</f>
        <v>Updated CAD geometry</v>
      </c>
      <c r="L176" s="11" t="str">
        <f>IFERROR(__xludf.DUMMYFUNCTION("""COMPUTED_VALUE"""),"No-redesign schedule assumes geometry changes remain limited.")</f>
        <v>No-redesign schedule assumes geometry changes remain limited.</v>
      </c>
      <c r="M176" s="11" t="str">
        <f>IFERROR(__xludf.DUMMYFUNCTION("""COMPUTED_VALUE"""),"A02 - MO Geometry")</f>
        <v>A02 - MO Geometry</v>
      </c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 t="str">
        <f>IFERROR(__xludf.DUMMYFUNCTION("""COMPUTED_VALUE"""),"MO_A02_T003")</f>
        <v>MO_A02_T003</v>
      </c>
      <c r="B177" s="11" t="str">
        <f>IFERROR(__xludf.DUMMYFUNCTION("""COMPUTED_VALUE"""),"Lock monocoque CAD points")</f>
        <v>Lock monocoque CAD points</v>
      </c>
      <c r="C177" s="11" t="str">
        <f>IFERROR(__xludf.DUMMYFUNCTION("""COMPUTED_VALUE"""),"Monocoque")</f>
        <v>Monocoque</v>
      </c>
      <c r="D177" s="20">
        <f>IFERROR(__xludf.DUMMYFUNCTION("""COMPUTED_VALUE"""),46314.0)</f>
        <v>46314</v>
      </c>
      <c r="E177" s="20">
        <f>IFERROR(__xludf.DUMMYFUNCTION("""COMPUTED_VALUE"""),46314.0)</f>
        <v>46314</v>
      </c>
      <c r="F177" s="11" t="str">
        <f>IFERROR(__xludf.DUMMYFUNCTION("""COMPUTED_VALUE"""),"Not Started")</f>
        <v>Not Started</v>
      </c>
      <c r="G177" s="11"/>
      <c r="H177" s="11" t="str">
        <f>IFERROR(__xludf.DUMMYFUNCTION("""COMPUTED_VALUE"""),"Katherine Collard")</f>
        <v>Katherine Collard</v>
      </c>
      <c r="I177" s="11" t="str">
        <f>IFERROR(__xludf.DUMMYFUNCTION("""COMPUTED_VALUE"""),"Critical")</f>
        <v>Critical</v>
      </c>
      <c r="J177" s="11"/>
      <c r="K177" s="11" t="str">
        <f>IFERROR(__xludf.DUMMYFUNCTION("""COMPUTED_VALUE"""),"Locked monocoque reference points")</f>
        <v>Locked monocoque reference points</v>
      </c>
      <c r="L177" s="11"/>
      <c r="M177" s="11" t="str">
        <f>IFERROR(__xludf.DUMMYFUNCTION("""COMPUTED_VALUE"""),"A02 - MO Geometry")</f>
        <v>A02 - MO Geometry</v>
      </c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 t="str">
        <f>IFERROR(__xludf.DUMMYFUNCTION("""COMPUTED_VALUE"""),"MO_A05_T001")</f>
        <v>MO_A05_T001</v>
      </c>
      <c r="B178" s="11" t="str">
        <f>IFERROR(__xludf.DUMMYFUNCTION("""COMPUTED_VALUE"""),"Ply Schedule Testing")</f>
        <v>Ply Schedule Testing</v>
      </c>
      <c r="C178" s="11" t="str">
        <f>IFERROR(__xludf.DUMMYFUNCTION("""COMPUTED_VALUE"""),"Monocoque")</f>
        <v>Monocoque</v>
      </c>
      <c r="D178" s="20"/>
      <c r="E178" s="20"/>
      <c r="F178" s="11"/>
      <c r="G178" s="11"/>
      <c r="H178" s="11"/>
      <c r="I178" s="11"/>
      <c r="J178" s="11"/>
      <c r="K178" s="11"/>
      <c r="L178" s="11"/>
      <c r="M178" s="11" t="str">
        <f>IFERROR(__xludf.DUMMYFUNCTION("""COMPUTED_VALUE"""),"A05 - SES and Ply Schedules")</f>
        <v>A05 - SES and Ply Schedules</v>
      </c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 t="str">
        <f>IFERROR(__xludf.DUMMYFUNCTION("""COMPUTED_VALUE"""),"MO_A05_T002")</f>
        <v>MO_A05_T002</v>
      </c>
      <c r="B179" s="11" t="str">
        <f>IFERROR(__xludf.DUMMYFUNCTION("""COMPUTED_VALUE"""),"Consult professional about laminates")</f>
        <v>Consult professional about laminates</v>
      </c>
      <c r="C179" s="11" t="str">
        <f>IFERROR(__xludf.DUMMYFUNCTION("""COMPUTED_VALUE"""),"Monocoque")</f>
        <v>Monocoque</v>
      </c>
      <c r="D179" s="20">
        <f>IFERROR(__xludf.DUMMYFUNCTION("""COMPUTED_VALUE"""),46245.0)</f>
        <v>46245</v>
      </c>
      <c r="E179" s="20">
        <f>IFERROR(__xludf.DUMMYFUNCTION("""COMPUTED_VALUE"""),46265.0)</f>
        <v>46265</v>
      </c>
      <c r="F179" s="11" t="str">
        <f>IFERROR(__xludf.DUMMYFUNCTION("""COMPUTED_VALUE"""),"Not Started")</f>
        <v>Not Started</v>
      </c>
      <c r="G179" s="11"/>
      <c r="H179" s="11"/>
      <c r="I179" s="11" t="str">
        <f>IFERROR(__xludf.DUMMYFUNCTION("""COMPUTED_VALUE"""),"High")</f>
        <v>High</v>
      </c>
      <c r="J179" s="11"/>
      <c r="K179" s="11" t="str">
        <f>IFERROR(__xludf.DUMMYFUNCTION("""COMPUTED_VALUE"""),"Material testing guidance and action items")</f>
        <v>Material testing guidance and action items</v>
      </c>
      <c r="L179" s="11"/>
      <c r="M179" s="11" t="str">
        <f>IFERROR(__xludf.DUMMYFUNCTION("""COMPUTED_VALUE"""),"A05 - SES and Ply Schedules")</f>
        <v>A05 - SES and Ply Schedules</v>
      </c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 t="str">
        <f>IFERROR(__xludf.DUMMYFUNCTION("""COMPUTED_VALUE"""),"MO_A05_T003")</f>
        <v>MO_A05_T003</v>
      </c>
      <c r="B180" s="11" t="str">
        <f>IFERROR(__xludf.DUMMYFUNCTION("""COMPUTED_VALUE"""),"Run ANSYS twist-test ply schedule study")</f>
        <v>Run ANSYS twist-test ply schedule study</v>
      </c>
      <c r="C180" s="11" t="str">
        <f>IFERROR(__xludf.DUMMYFUNCTION("""COMPUTED_VALUE"""),"Monocoque")</f>
        <v>Monocoque</v>
      </c>
      <c r="D180" s="20">
        <f>IFERROR(__xludf.DUMMYFUNCTION("""COMPUTED_VALUE"""),46247.0)</f>
        <v>46247</v>
      </c>
      <c r="E180" s="20">
        <f>IFERROR(__xludf.DUMMYFUNCTION("""COMPUTED_VALUE"""),46276.0)</f>
        <v>46276</v>
      </c>
      <c r="F180" s="11" t="str">
        <f>IFERROR(__xludf.DUMMYFUNCTION("""COMPUTED_VALUE"""),"Not Started")</f>
        <v>Not Started</v>
      </c>
      <c r="G180" s="11"/>
      <c r="H180" s="11"/>
      <c r="I180" s="11" t="str">
        <f>IFERROR(__xludf.DUMMYFUNCTION("""COMPUTED_VALUE"""),"Low")</f>
        <v>Low</v>
      </c>
      <c r="J180" s="11"/>
      <c r="K180" s="11" t="str">
        <f>IFERROR(__xludf.DUMMYFUNCTION("""COMPUTED_VALUE"""),"Twist-test ply schedule results")</f>
        <v>Twist-test ply schedule results</v>
      </c>
      <c r="L180" s="11"/>
      <c r="M180" s="11" t="str">
        <f>IFERROR(__xludf.DUMMYFUNCTION("""COMPUTED_VALUE"""),"A05 - SES and Ply Schedules")</f>
        <v>A05 - SES and Ply Schedules</v>
      </c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 t="str">
        <f>IFERROR(__xludf.DUMMYFUNCTION("""COMPUTED_VALUE"""),"MO_A05_T004")</f>
        <v>MO_A05_T004</v>
      </c>
      <c r="B181" s="11" t="str">
        <f>IFERROR(__xludf.DUMMYFUNCTION("""COMPUTED_VALUE"""),"Analyze panel test results")</f>
        <v>Analyze panel test results</v>
      </c>
      <c r="C181" s="11" t="str">
        <f>IFERROR(__xludf.DUMMYFUNCTION("""COMPUTED_VALUE"""),"Monocoque")</f>
        <v>Monocoque</v>
      </c>
      <c r="D181" s="20">
        <f>IFERROR(__xludf.DUMMYFUNCTION("""COMPUTED_VALUE"""),46284.0)</f>
        <v>46284</v>
      </c>
      <c r="E181" s="20">
        <f>IFERROR(__xludf.DUMMYFUNCTION("""COMPUTED_VALUE"""),46284.0)</f>
        <v>46284</v>
      </c>
      <c r="F181" s="11" t="str">
        <f>IFERROR(__xludf.DUMMYFUNCTION("""COMPUTED_VALUE"""),"Not Started")</f>
        <v>Not Started</v>
      </c>
      <c r="G181" s="11"/>
      <c r="H181" s="11"/>
      <c r="I181" s="11" t="str">
        <f>IFERROR(__xludf.DUMMYFUNCTION("""COMPUTED_VALUE"""),"Critical")</f>
        <v>Critical</v>
      </c>
      <c r="J181" s="11"/>
      <c r="K181" s="11" t="str">
        <f>IFERROR(__xludf.DUMMYFUNCTION("""COMPUTED_VALUE"""),"Analyzed panel results and recommendations")</f>
        <v>Analyzed panel results and recommendations</v>
      </c>
      <c r="L181" s="11"/>
      <c r="M181" s="11" t="str">
        <f>IFERROR(__xludf.DUMMYFUNCTION("""COMPUTED_VALUE"""),"A05 - SES and Ply Schedules")</f>
        <v>A05 - SES and Ply Schedules</v>
      </c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 t="str">
        <f>IFERROR(__xludf.DUMMYFUNCTION("""COMPUTED_VALUE"""),"MO_A05_T005")</f>
        <v>MO_A05_T005</v>
      </c>
      <c r="B182" s="11" t="str">
        <f>IFERROR(__xludf.DUMMYFUNCTION("""COMPUTED_VALUE"""),"Complete additional test-panel round")</f>
        <v>Complete additional test-panel round</v>
      </c>
      <c r="C182" s="11" t="str">
        <f>IFERROR(__xludf.DUMMYFUNCTION("""COMPUTED_VALUE"""),"Monocoque")</f>
        <v>Monocoque</v>
      </c>
      <c r="D182" s="20">
        <f>IFERROR(__xludf.DUMMYFUNCTION("""COMPUTED_VALUE"""),46292.0)</f>
        <v>46292</v>
      </c>
      <c r="E182" s="20">
        <f>IFERROR(__xludf.DUMMYFUNCTION("""COMPUTED_VALUE"""),46299.0)</f>
        <v>46299</v>
      </c>
      <c r="F182" s="11" t="str">
        <f>IFERROR(__xludf.DUMMYFUNCTION("""COMPUTED_VALUE"""),"Not Started")</f>
        <v>Not Started</v>
      </c>
      <c r="G182" s="11"/>
      <c r="H182" s="11"/>
      <c r="I182" s="11" t="str">
        <f>IFERROR(__xludf.DUMMYFUNCTION("""COMPUTED_VALUE"""),"High")</f>
        <v>High</v>
      </c>
      <c r="J182" s="11"/>
      <c r="K182" s="11" t="str">
        <f>IFERROR(__xludf.DUMMYFUNCTION("""COMPUTED_VALUE"""),"Additional panel test results")</f>
        <v>Additional panel test results</v>
      </c>
      <c r="L182" s="11" t="str">
        <f>IFERROR(__xludf.DUMMYFUNCTION("""COMPUTED_VALUE"""),"Calendar notes another panel round; one-week window assumed.")</f>
        <v>Calendar notes another panel round; one-week window assumed.</v>
      </c>
      <c r="M182" s="11" t="str">
        <f>IFERROR(__xludf.DUMMYFUNCTION("""COMPUTED_VALUE"""),"A05 - SES and Ply Schedules")</f>
        <v>A05 - SES and Ply Schedules</v>
      </c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 t="str">
        <f>IFERROR(__xludf.DUMMYFUNCTION("""COMPUTED_VALUE"""),"MO_A05_T006")</f>
        <v>MO_A05_T006</v>
      </c>
      <c r="B183" s="11" t="str">
        <f>IFERROR(__xludf.DUMMYFUNCTION("""COMPUTED_VALUE"""),"Complete SES work session")</f>
        <v>Complete SES work session</v>
      </c>
      <c r="C183" s="11" t="str">
        <f>IFERROR(__xludf.DUMMYFUNCTION("""COMPUTED_VALUE"""),"Monocoque")</f>
        <v>Monocoque</v>
      </c>
      <c r="D183" s="20">
        <f>IFERROR(__xludf.DUMMYFUNCTION("""COMPUTED_VALUE"""),46331.0)</f>
        <v>46331</v>
      </c>
      <c r="E183" s="20">
        <f>IFERROR(__xludf.DUMMYFUNCTION("""COMPUTED_VALUE"""),46331.0)</f>
        <v>46331</v>
      </c>
      <c r="F183" s="11" t="str">
        <f>IFERROR(__xludf.DUMMYFUNCTION("""COMPUTED_VALUE"""),"Not Started")</f>
        <v>Not Started</v>
      </c>
      <c r="G183" s="11"/>
      <c r="H183" s="11"/>
      <c r="I183" s="11" t="str">
        <f>IFERROR(__xludf.DUMMYFUNCTION("""COMPUTED_VALUE"""),"Critical")</f>
        <v>Critical</v>
      </c>
      <c r="J183" s="11"/>
      <c r="K183" s="11" t="str">
        <f>IFERROR(__xludf.DUMMYFUNCTION("""COMPUTED_VALUE"""),"Updated SES package")</f>
        <v>Updated SES package</v>
      </c>
      <c r="L183" s="11"/>
      <c r="M183" s="11" t="str">
        <f>IFERROR(__xludf.DUMMYFUNCTION("""COMPUTED_VALUE"""),"A05 - SES and Ply Schedules")</f>
        <v>A05 - SES and Ply Schedules</v>
      </c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 t="str">
        <f>IFERROR(__xludf.DUMMYFUNCTION("""COMPUTED_VALUE"""),"MO_A05_T007")</f>
        <v>MO_A05_T007</v>
      </c>
      <c r="B184" s="11" t="str">
        <f>IFERROR(__xludf.DUMMYFUNCTION("""COMPUTED_VALUE"""),"Continue test panels and SES documentation")</f>
        <v>Continue test panels and SES documentation</v>
      </c>
      <c r="C184" s="11" t="str">
        <f>IFERROR(__xludf.DUMMYFUNCTION("""COMPUTED_VALUE"""),"Monocoque")</f>
        <v>Monocoque</v>
      </c>
      <c r="D184" s="20">
        <f>IFERROR(__xludf.DUMMYFUNCTION("""COMPUTED_VALUE"""),46335.0)</f>
        <v>46335</v>
      </c>
      <c r="E184" s="20">
        <f>IFERROR(__xludf.DUMMYFUNCTION("""COMPUTED_VALUE"""),46336.0)</f>
        <v>46336</v>
      </c>
      <c r="F184" s="11" t="str">
        <f>IFERROR(__xludf.DUMMYFUNCTION("""COMPUTED_VALUE"""),"Not Started")</f>
        <v>Not Started</v>
      </c>
      <c r="G184" s="11"/>
      <c r="H184" s="11"/>
      <c r="I184" s="11" t="str">
        <f>IFERROR(__xludf.DUMMYFUNCTION("""COMPUTED_VALUE"""),"Critical")</f>
        <v>Critical</v>
      </c>
      <c r="J184" s="11"/>
      <c r="K184" s="11" t="str">
        <f>IFERROR(__xludf.DUMMYFUNCTION("""COMPUTED_VALUE"""),"Updated SES test evidence")</f>
        <v>Updated SES test evidence</v>
      </c>
      <c r="L184" s="11"/>
      <c r="M184" s="11" t="str">
        <f>IFERROR(__xludf.DUMMYFUNCTION("""COMPUTED_VALUE"""),"A05 - SES and Ply Schedules")</f>
        <v>A05 - SES and Ply Schedules</v>
      </c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 t="str">
        <f>IFERROR(__xludf.DUMMYFUNCTION("""COMPUTED_VALUE"""),"MO_A05_T008")</f>
        <v>MO_A05_T008</v>
      </c>
      <c r="B185" s="11" t="str">
        <f>IFERROR(__xludf.DUMMYFUNCTION("""COMPUTED_VALUE"""),"Lock final ply schedules")</f>
        <v>Lock final ply schedules</v>
      </c>
      <c r="C185" s="11" t="str">
        <f>IFERROR(__xludf.DUMMYFUNCTION("""COMPUTED_VALUE"""),"Monocoque")</f>
        <v>Monocoque</v>
      </c>
      <c r="D185" s="20">
        <f>IFERROR(__xludf.DUMMYFUNCTION("""COMPUTED_VALUE"""),46295.0)</f>
        <v>46295</v>
      </c>
      <c r="E185" s="20">
        <f>IFERROR(__xludf.DUMMYFUNCTION("""COMPUTED_VALUE"""),46346.0)</f>
        <v>46346</v>
      </c>
      <c r="F185" s="11" t="str">
        <f>IFERROR(__xludf.DUMMYFUNCTION("""COMPUTED_VALUE"""),"Not Started")</f>
        <v>Not Started</v>
      </c>
      <c r="G185" s="11"/>
      <c r="H185" s="11"/>
      <c r="I185" s="11" t="str">
        <f>IFERROR(__xludf.DUMMYFUNCTION("""COMPUTED_VALUE"""),"Critical")</f>
        <v>Critical</v>
      </c>
      <c r="J185" s="11"/>
      <c r="K185" s="11" t="str">
        <f>IFERROR(__xludf.DUMMYFUNCTION("""COMPUTED_VALUE"""),"Released ply schedule")</f>
        <v>Released ply schedule</v>
      </c>
      <c r="L185" s="11"/>
      <c r="M185" s="11" t="str">
        <f>IFERROR(__xludf.DUMMYFUNCTION("""COMPUTED_VALUE"""),"A05 - SES and Ply Schedules")</f>
        <v>A05 - SES and Ply Schedules</v>
      </c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 t="str">
        <f>IFERROR(__xludf.DUMMYFUNCTION("""COMPUTED_VALUE"""),"MO_A05_T009")</f>
        <v>MO_A05_T009</v>
      </c>
      <c r="B186" s="11" t="str">
        <f>IFERROR(__xludf.DUMMYFUNCTION("""COMPUTED_VALUE"""),"Submit SES package")</f>
        <v>Submit SES package</v>
      </c>
      <c r="C186" s="11" t="str">
        <f>IFERROR(__xludf.DUMMYFUNCTION("""COMPUTED_VALUE"""),"Monocoque")</f>
        <v>Monocoque</v>
      </c>
      <c r="D186" s="20">
        <f>IFERROR(__xludf.DUMMYFUNCTION("""COMPUTED_VALUE"""),46357.0)</f>
        <v>46357</v>
      </c>
      <c r="E186" s="20">
        <f>IFERROR(__xludf.DUMMYFUNCTION("""COMPUTED_VALUE"""),46357.0)</f>
        <v>46357</v>
      </c>
      <c r="F186" s="11" t="str">
        <f>IFERROR(__xludf.DUMMYFUNCTION("""COMPUTED_VALUE"""),"Not Started")</f>
        <v>Not Started</v>
      </c>
      <c r="G186" s="11"/>
      <c r="H186" s="11"/>
      <c r="I186" s="11" t="str">
        <f>IFERROR(__xludf.DUMMYFUNCTION("""COMPUTED_VALUE"""),"Critical")</f>
        <v>Critical</v>
      </c>
      <c r="J186" s="11"/>
      <c r="K186" s="11" t="str">
        <f>IFERROR(__xludf.DUMMYFUNCTION("""COMPUTED_VALUE"""),"Submitted SES package")</f>
        <v>Submitted SES package</v>
      </c>
      <c r="L186" s="11"/>
      <c r="M186" s="11" t="str">
        <f>IFERROR(__xludf.DUMMYFUNCTION("""COMPUTED_VALUE"""),"A05 - SES and Ply Schedules")</f>
        <v>A05 - SES and Ply Schedules</v>
      </c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 t="str">
        <f>IFERROR(__xludf.DUMMYFUNCTION("""COMPUTED_VALUE"""),"MO_A05_T010")</f>
        <v>MO_A05_T010</v>
      </c>
      <c r="B187" s="11" t="str">
        <f>IFERROR(__xludf.DUMMYFUNCTION("""COMPUTED_VALUE"""),"Test Panel Jigs and Elastic Modulus")</f>
        <v>Test Panel Jigs and Elastic Modulus</v>
      </c>
      <c r="C187" s="11" t="str">
        <f>IFERROR(__xludf.DUMMYFUNCTION("""COMPUTED_VALUE"""),"Monocoque")</f>
        <v>Monocoque</v>
      </c>
      <c r="D187" s="20">
        <f>IFERROR(__xludf.DUMMYFUNCTION("""COMPUTED_VALUE"""),46251.0)</f>
        <v>46251</v>
      </c>
      <c r="E187" s="20">
        <f>IFERROR(__xludf.DUMMYFUNCTION("""COMPUTED_VALUE"""),46255.0)</f>
        <v>46255</v>
      </c>
      <c r="F187" s="11" t="str">
        <f>IFERROR(__xludf.DUMMYFUNCTION("""COMPUTED_VALUE"""),"Not Started")</f>
        <v>Not Started</v>
      </c>
      <c r="G187" s="11"/>
      <c r="H187" s="11"/>
      <c r="I187" s="11" t="str">
        <f>IFERROR(__xludf.DUMMYFUNCTION("""COMPUTED_VALUE"""),"High")</f>
        <v>High</v>
      </c>
      <c r="J187" s="11"/>
      <c r="K187" s="11" t="str">
        <f>IFERROR(__xludf.DUMMYFUNCTION("""COMPUTED_VALUE"""),"1. Have 3 pt bending jig 2. Have an elastic modulus tested thats rules compliant 3. test T1100 4. Other testing jigs (1-2 must be done)")</f>
        <v>1. Have 3 pt bending jig 2. Have an elastic modulus tested thats rules compliant 3. test T1100 4. Other testing jigs (1-2 must be done)</v>
      </c>
      <c r="L187" s="11"/>
      <c r="M187" s="11" t="str">
        <f>IFERROR(__xludf.DUMMYFUNCTION("""COMPUTED_VALUE"""),"A05 - SES and Ply Schedules")</f>
        <v>A05 - SES and Ply Schedules</v>
      </c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 t="str">
        <f>IFERROR(__xludf.DUMMYFUNCTION("""COMPUTED_VALUE"""),"SU_A01_T001")</f>
        <v>SU_A01_T001</v>
      </c>
      <c r="B188" s="11" t="str">
        <f>IFERROR(__xludf.DUMMYFUNCTION("""COMPUTED_VALUE"""),"Run ARG26 CG Test")</f>
        <v>Run ARG26 CG Test</v>
      </c>
      <c r="C188" s="11" t="str">
        <f>IFERROR(__xludf.DUMMYFUNCTION("""COMPUTED_VALUE"""),"Suspension")</f>
        <v>Suspension</v>
      </c>
      <c r="D188" s="20">
        <f>IFERROR(__xludf.DUMMYFUNCTION("""COMPUTED_VALUE"""),46265.0)</f>
        <v>46265</v>
      </c>
      <c r="E188" s="20">
        <f>IFERROR(__xludf.DUMMYFUNCTION("""COMPUTED_VALUE"""),46270.0)</f>
        <v>46270</v>
      </c>
      <c r="F188" s="11" t="str">
        <f>IFERROR(__xludf.DUMMYFUNCTION("""COMPUTED_VALUE"""),"Not Started")</f>
        <v>Not Started</v>
      </c>
      <c r="G188" s="11"/>
      <c r="H188" s="11" t="str">
        <f>IFERROR(__xludf.DUMMYFUNCTION("""COMPUTED_VALUE"""),"Davis Rattanavijai")</f>
        <v>Davis Rattanavijai</v>
      </c>
      <c r="I188" s="11"/>
      <c r="J188" s="11"/>
      <c r="K188" s="11"/>
      <c r="L188" s="11" t="str">
        <f>IFERROR(__xludf.DUMMYFUNCTION("""COMPUTED_VALUE"""),"Very very valuable information")</f>
        <v>Very very valuable information</v>
      </c>
      <c r="M188" s="11" t="str">
        <f>IFERROR(__xludf.DUMMYFUNCTION("""COMPUTED_VALUE"""),"A01 - Suspension")</f>
        <v>A01 - Suspension</v>
      </c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 t="str">
        <f>IFERROR(__xludf.DUMMYFUNCTION("""COMPUTED_VALUE"""),"SU_A01_T002")</f>
        <v>SU_A01_T002</v>
      </c>
      <c r="B189" s="11" t="str">
        <f>IFERROR(__xludf.DUMMYFUNCTION("""COMPUTED_VALUE"""),"GRIND KINEMATIC POINTS")</f>
        <v>GRIND KINEMATIC POINTS</v>
      </c>
      <c r="C189" s="11" t="str">
        <f>IFERROR(__xludf.DUMMYFUNCTION("""COMPUTED_VALUE"""),"Suspension")</f>
        <v>Suspension</v>
      </c>
      <c r="D189" s="20">
        <f>IFERROR(__xludf.DUMMYFUNCTION("""COMPUTED_VALUE"""),46271.0)</f>
        <v>46271</v>
      </c>
      <c r="E189" s="20">
        <f>IFERROR(__xludf.DUMMYFUNCTION("""COMPUTED_VALUE"""),46278.0)</f>
        <v>46278</v>
      </c>
      <c r="F189" s="11" t="str">
        <f>IFERROR(__xludf.DUMMYFUNCTION("""COMPUTED_VALUE"""),"Not Started")</f>
        <v>Not Started</v>
      </c>
      <c r="G189" s="11"/>
      <c r="H189" s="11" t="str">
        <f>IFERROR(__xludf.DUMMYFUNCTION("""COMPUTED_VALUE"""),"Davis Rattanavijai")</f>
        <v>Davis Rattanavijai</v>
      </c>
      <c r="I189" s="11"/>
      <c r="J189" s="11" t="str">
        <f>IFERROR(__xludf.DUMMYFUNCTION("""COMPUTED_VALUE"""),"SU_A01_T003")</f>
        <v>SU_A01_T003</v>
      </c>
      <c r="K189" s="11"/>
      <c r="L189" s="11"/>
      <c r="M189" s="11" t="str">
        <f>IFERROR(__xludf.DUMMYFUNCTION("""COMPUTED_VALUE"""),"A01 - Suspension")</f>
        <v>A01 - Suspension</v>
      </c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 t="str">
        <f>IFERROR(__xludf.DUMMYFUNCTION("""COMPUTED_VALUE"""),"SU_A01_T003")</f>
        <v>SU_A01_T003</v>
      </c>
      <c r="B190" s="11" t="str">
        <f>IFERROR(__xludf.DUMMYFUNCTION("""COMPUTED_VALUE"""),"Gather Design Necessary Car Data")</f>
        <v>Gather Design Necessary Car Data</v>
      </c>
      <c r="C190" s="11" t="str">
        <f>IFERROR(__xludf.DUMMYFUNCTION("""COMPUTED_VALUE"""),"Suspension")</f>
        <v>Suspension</v>
      </c>
      <c r="D190" s="20">
        <f>IFERROR(__xludf.DUMMYFUNCTION("""COMPUTED_VALUE"""),46270.0)</f>
        <v>46270</v>
      </c>
      <c r="E190" s="20">
        <f>IFERROR(__xludf.DUMMYFUNCTION("""COMPUTED_VALUE"""),46284.0)</f>
        <v>46284</v>
      </c>
      <c r="F190" s="11" t="str">
        <f>IFERROR(__xludf.DUMMYFUNCTION("""COMPUTED_VALUE"""),"Not Started")</f>
        <v>Not Started</v>
      </c>
      <c r="G190" s="11"/>
      <c r="H190" s="11" t="str">
        <f>IFERROR(__xludf.DUMMYFUNCTION("""COMPUTED_VALUE"""),"Davis Rattanavijai")</f>
        <v>Davis Rattanavijai</v>
      </c>
      <c r="I190" s="11"/>
      <c r="J190" s="11"/>
      <c r="K190" s="11"/>
      <c r="L190" s="11" t="str">
        <f>IFERROR(__xludf.DUMMYFUNCTION("""COMPUTED_VALUE"""),"Max lateral, longitudinal acceleration and more to come")</f>
        <v>Max lateral, longitudinal acceleration and more to come</v>
      </c>
      <c r="M190" s="11" t="str">
        <f>IFERROR(__xludf.DUMMYFUNCTION("""COMPUTED_VALUE"""),"A01 - Suspension")</f>
        <v>A01 - Suspension</v>
      </c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 t="str">
        <f>IFERROR(__xludf.DUMMYFUNCTION("""COMPUTED_VALUE"""),"SU_A01_T004")</f>
        <v>SU_A01_T004</v>
      </c>
      <c r="B191" s="11" t="str">
        <f>IFERROR(__xludf.DUMMYFUNCTION("""COMPUTED_VALUE"""),"test task")</f>
        <v>test task</v>
      </c>
      <c r="C191" s="11" t="str">
        <f>IFERROR(__xludf.DUMMYFUNCTION("""COMPUTED_VALUE"""),"Suspension")</f>
        <v>Suspension</v>
      </c>
      <c r="D191" s="20"/>
      <c r="E191" s="20"/>
      <c r="F191" s="11"/>
      <c r="G191" s="11"/>
      <c r="H191" s="11"/>
      <c r="I191" s="11"/>
      <c r="J191" s="11"/>
      <c r="K191" s="11"/>
      <c r="L191" s="11"/>
      <c r="M191" s="11" t="str">
        <f>IFERROR(__xludf.DUMMYFUNCTION("""COMPUTED_VALUE"""),"A01 - Suspension")</f>
        <v>A01 - Suspension</v>
      </c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 t="str">
        <f>IFERROR(__xludf.DUMMYFUNCTION("""COMPUTED_VALUE"""),"SU_A02_T001")</f>
        <v>SU_A02_T001</v>
      </c>
      <c r="B192" s="11" t="str">
        <f>IFERROR(__xludf.DUMMYFUNCTION("""COMPUTED_VALUE"""),"Links manufacturing")</f>
        <v>Links manufacturing</v>
      </c>
      <c r="C192" s="11" t="str">
        <f>IFERROR(__xludf.DUMMYFUNCTION("""COMPUTED_VALUE"""),"Suspension")</f>
        <v>Suspension</v>
      </c>
      <c r="D192" s="20">
        <f>IFERROR(__xludf.DUMMYFUNCTION("""COMPUTED_VALUE"""),46327.0)</f>
        <v>46327</v>
      </c>
      <c r="E192" s="20">
        <f>IFERROR(__xludf.DUMMYFUNCTION("""COMPUTED_VALUE"""),46402.0)</f>
        <v>46402</v>
      </c>
      <c r="F192" s="11" t="str">
        <f>IFERROR(__xludf.DUMMYFUNCTION("""COMPUTED_VALUE"""),"Not Started")</f>
        <v>Not Started</v>
      </c>
      <c r="G192" s="11"/>
      <c r="H192" s="11" t="str">
        <f>IFERROR(__xludf.DUMMYFUNCTION("""COMPUTED_VALUE"""),"Daniel Wtorkowski")</f>
        <v>Daniel Wtorkowski</v>
      </c>
      <c r="I192" s="11"/>
      <c r="J192" s="11"/>
      <c r="K192" s="11"/>
      <c r="L192" s="11"/>
      <c r="M192" s="11" t="str">
        <f>IFERROR(__xludf.DUMMYFUNCTION("""COMPUTED_VALUE"""),"A02 - Links")</f>
        <v>A02 - Links</v>
      </c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 t="str">
        <f>IFERROR(__xludf.DUMMYFUNCTION("""COMPUTED_VALUE"""),"SU_A02_T002")</f>
        <v>SU_A02_T002</v>
      </c>
      <c r="B193" s="11" t="str">
        <f>IFERROR(__xludf.DUMMYFUNCTION("""COMPUTED_VALUE"""),"Calculate Link Dimensions (Length, OD and Wall thickness)")</f>
        <v>Calculate Link Dimensions (Length, OD and Wall thickness)</v>
      </c>
      <c r="C193" s="11" t="str">
        <f>IFERROR(__xludf.DUMMYFUNCTION("""COMPUTED_VALUE"""),"Suspension")</f>
        <v>Suspension</v>
      </c>
      <c r="D193" s="20"/>
      <c r="E193" s="20"/>
      <c r="F193" s="11" t="str">
        <f>IFERROR(__xludf.DUMMYFUNCTION("""COMPUTED_VALUE"""),"Not Started")</f>
        <v>Not Started</v>
      </c>
      <c r="G193" s="11"/>
      <c r="H193" s="11" t="str">
        <f>IFERROR(__xludf.DUMMYFUNCTION("""COMPUTED_VALUE"""),"Daniel Wtorkowski")</f>
        <v>Daniel Wtorkowski</v>
      </c>
      <c r="I193" s="11" t="str">
        <f>IFERROR(__xludf.DUMMYFUNCTION("""COMPUTED_VALUE"""),"High")</f>
        <v>High</v>
      </c>
      <c r="J193" s="11"/>
      <c r="K193" s="11"/>
      <c r="L193" s="11"/>
      <c r="M193" s="11" t="str">
        <f>IFERROR(__xludf.DUMMYFUNCTION("""COMPUTED_VALUE"""),"A02 - Links")</f>
        <v>A02 - Links</v>
      </c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 t="str">
        <f>IFERROR(__xludf.DUMMYFUNCTION("""COMPUTED_VALUE"""),"SU_A02_T003")</f>
        <v>SU_A02_T003</v>
      </c>
      <c r="B194" s="11" t="str">
        <f>IFERROR(__xludf.DUMMYFUNCTION("""COMPUTED_VALUE"""),"First Round CAD of links and adapters")</f>
        <v>First Round CAD of links and adapters</v>
      </c>
      <c r="C194" s="11" t="str">
        <f>IFERROR(__xludf.DUMMYFUNCTION("""COMPUTED_VALUE"""),"Suspension")</f>
        <v>Suspension</v>
      </c>
      <c r="D194" s="20"/>
      <c r="E194" s="20"/>
      <c r="F194" s="11" t="str">
        <f>IFERROR(__xludf.DUMMYFUNCTION("""COMPUTED_VALUE"""),"Not Started")</f>
        <v>Not Started</v>
      </c>
      <c r="G194" s="11"/>
      <c r="H194" s="11" t="str">
        <f>IFERROR(__xludf.DUMMYFUNCTION("""COMPUTED_VALUE"""),"Daniel Wtorkowski")</f>
        <v>Daniel Wtorkowski</v>
      </c>
      <c r="I194" s="11" t="str">
        <f>IFERROR(__xludf.DUMMYFUNCTION("""COMPUTED_VALUE"""),"Medium")</f>
        <v>Medium</v>
      </c>
      <c r="J194" s="11" t="str">
        <f>IFERROR(__xludf.DUMMYFUNCTION("""COMPUTED_VALUE"""),"SU_A01_T002")</f>
        <v>SU_A01_T002</v>
      </c>
      <c r="K194" s="11"/>
      <c r="L194" s="11"/>
      <c r="M194" s="11" t="str">
        <f>IFERROR(__xludf.DUMMYFUNCTION("""COMPUTED_VALUE"""),"A02 - Links")</f>
        <v>A02 - Links</v>
      </c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 t="str">
        <f>IFERROR(__xludf.DUMMYFUNCTION("""COMPUTED_VALUE"""),"SU_A02_T004")</f>
        <v>SU_A02_T004</v>
      </c>
      <c r="B195" s="11" t="str">
        <f>IFERROR(__xludf.DUMMYFUNCTION("""COMPUTED_VALUE"""),"Optimize Upper Adapter Geometry")</f>
        <v>Optimize Upper Adapter Geometry</v>
      </c>
      <c r="C195" s="11" t="str">
        <f>IFERROR(__xludf.DUMMYFUNCTION("""COMPUTED_VALUE"""),"Suspension")</f>
        <v>Suspension</v>
      </c>
      <c r="D195" s="20"/>
      <c r="E195" s="20"/>
      <c r="F195" s="11" t="str">
        <f>IFERROR(__xludf.DUMMYFUNCTION("""COMPUTED_VALUE"""),"Not Started")</f>
        <v>Not Started</v>
      </c>
      <c r="G195" s="11"/>
      <c r="H195" s="11" t="str">
        <f>IFERROR(__xludf.DUMMYFUNCTION("""COMPUTED_VALUE"""),"Daniel Wtorkowski")</f>
        <v>Daniel Wtorkowski</v>
      </c>
      <c r="I195" s="11" t="str">
        <f>IFERROR(__xludf.DUMMYFUNCTION("""COMPUTED_VALUE"""),"Medium")</f>
        <v>Medium</v>
      </c>
      <c r="J195" s="11" t="str">
        <f>IFERROR(__xludf.DUMMYFUNCTION("""COMPUTED_VALUE"""),"SU_A02_T003")</f>
        <v>SU_A02_T003</v>
      </c>
      <c r="K195" s="11"/>
      <c r="L195" s="11"/>
      <c r="M195" s="11" t="str">
        <f>IFERROR(__xludf.DUMMYFUNCTION("""COMPUTED_VALUE"""),"A02 - Links")</f>
        <v>A02 - Links</v>
      </c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 t="str">
        <f>IFERROR(__xludf.DUMMYFUNCTION("""COMPUTED_VALUE"""),"SU_A02_T005")</f>
        <v>SU_A02_T005</v>
      </c>
      <c r="B196" s="11" t="str">
        <f>IFERROR(__xludf.DUMMYFUNCTION("""COMPUTED_VALUE"""),"Order rod ends, bearings, tube stock from McMaster")</f>
        <v>Order rod ends, bearings, tube stock from McMaster</v>
      </c>
      <c r="C196" s="11" t="str">
        <f>IFERROR(__xludf.DUMMYFUNCTION("""COMPUTED_VALUE"""),"Suspension")</f>
        <v>Suspension</v>
      </c>
      <c r="D196" s="20"/>
      <c r="E196" s="20"/>
      <c r="F196" s="11" t="str">
        <f>IFERROR(__xludf.DUMMYFUNCTION("""COMPUTED_VALUE"""),"Not Started")</f>
        <v>Not Started</v>
      </c>
      <c r="G196" s="11"/>
      <c r="H196" s="11" t="str">
        <f>IFERROR(__xludf.DUMMYFUNCTION("""COMPUTED_VALUE"""),"Daniel Wtorkowski")</f>
        <v>Daniel Wtorkowski</v>
      </c>
      <c r="I196" s="11" t="str">
        <f>IFERROR(__xludf.DUMMYFUNCTION("""COMPUTED_VALUE"""),"Medium")</f>
        <v>Medium</v>
      </c>
      <c r="J196" s="11"/>
      <c r="K196" s="11"/>
      <c r="L196" s="11"/>
      <c r="M196" s="11" t="str">
        <f>IFERROR(__xludf.DUMMYFUNCTION("""COMPUTED_VALUE"""),"A02 - Links")</f>
        <v>A02 - Links</v>
      </c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 t="str">
        <f>IFERROR(__xludf.DUMMYFUNCTION("""COMPUTED_VALUE"""),"SU_A02_T006")</f>
        <v>SU_A02_T006</v>
      </c>
      <c r="B197" s="11" t="str">
        <f>IFERROR(__xludf.DUMMYFUNCTION("""COMPUTED_VALUE"""),"Order adapters from ZTL")</f>
        <v>Order adapters from ZTL</v>
      </c>
      <c r="C197" s="11" t="str">
        <f>IFERROR(__xludf.DUMMYFUNCTION("""COMPUTED_VALUE"""),"Suspension")</f>
        <v>Suspension</v>
      </c>
      <c r="D197" s="20"/>
      <c r="E197" s="20"/>
      <c r="F197" s="11" t="str">
        <f>IFERROR(__xludf.DUMMYFUNCTION("""COMPUTED_VALUE"""),"Not Started")</f>
        <v>Not Started</v>
      </c>
      <c r="G197" s="11"/>
      <c r="H197" s="11" t="str">
        <f>IFERROR(__xludf.DUMMYFUNCTION("""COMPUTED_VALUE"""),"Daniel Wtorkowski")</f>
        <v>Daniel Wtorkowski</v>
      </c>
      <c r="I197" s="11" t="str">
        <f>IFERROR(__xludf.DUMMYFUNCTION("""COMPUTED_VALUE"""),"High")</f>
        <v>High</v>
      </c>
      <c r="J197" s="11"/>
      <c r="K197" s="11"/>
      <c r="L197" s="11"/>
      <c r="M197" s="11" t="str">
        <f>IFERROR(__xludf.DUMMYFUNCTION("""COMPUTED_VALUE"""),"A02 - Links")</f>
        <v>A02 - Links</v>
      </c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 t="str">
        <f>IFERROR(__xludf.DUMMYFUNCTION("""COMPUTED_VALUE"""),"SU_A02_T007")</f>
        <v>SU_A02_T007</v>
      </c>
      <c r="B198" s="11" t="str">
        <f>IFERROR(__xludf.DUMMYFUNCTION("""COMPUTED_VALUE"""),"Machine Inserts")</f>
        <v>Machine Inserts</v>
      </c>
      <c r="C198" s="11" t="str">
        <f>IFERROR(__xludf.DUMMYFUNCTION("""COMPUTED_VALUE"""),"Suspension")</f>
        <v>Suspension</v>
      </c>
      <c r="D198" s="20"/>
      <c r="E198" s="20"/>
      <c r="F198" s="11" t="str">
        <f>IFERROR(__xludf.DUMMYFUNCTION("""COMPUTED_VALUE"""),"Not Started")</f>
        <v>Not Started</v>
      </c>
      <c r="G198" s="11"/>
      <c r="H198" s="11" t="str">
        <f>IFERROR(__xludf.DUMMYFUNCTION("""COMPUTED_VALUE"""),"Daniel Wtorkowski")</f>
        <v>Daniel Wtorkowski</v>
      </c>
      <c r="I198" s="11" t="str">
        <f>IFERROR(__xludf.DUMMYFUNCTION("""COMPUTED_VALUE"""),"High")</f>
        <v>High</v>
      </c>
      <c r="J198" s="11"/>
      <c r="K198" s="11"/>
      <c r="L198" s="11"/>
      <c r="M198" s="11" t="str">
        <f>IFERROR(__xludf.DUMMYFUNCTION("""COMPUTED_VALUE"""),"A02 - Links")</f>
        <v>A02 - Links</v>
      </c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 t="str">
        <f>IFERROR(__xludf.DUMMYFUNCTION("""COMPUTED_VALUE"""),"SU_A02_T008")</f>
        <v>SU_A02_T008</v>
      </c>
      <c r="B199" s="11" t="str">
        <f>IFERROR(__xludf.DUMMYFUNCTION("""COMPUTED_VALUE"""),"Manufacture push links for strain gauge installation as well as spares")</f>
        <v>Manufacture push links for strain gauge installation as well as spares</v>
      </c>
      <c r="C199" s="11" t="str">
        <f>IFERROR(__xludf.DUMMYFUNCTION("""COMPUTED_VALUE"""),"Suspension")</f>
        <v>Suspension</v>
      </c>
      <c r="D199" s="20"/>
      <c r="E199" s="20"/>
      <c r="F199" s="11" t="str">
        <f>IFERROR(__xludf.DUMMYFUNCTION("""COMPUTED_VALUE"""),"Not Started")</f>
        <v>Not Started</v>
      </c>
      <c r="G199" s="11"/>
      <c r="H199" s="11" t="str">
        <f>IFERROR(__xludf.DUMMYFUNCTION("""COMPUTED_VALUE"""),"Daniel Wtorkowski")</f>
        <v>Daniel Wtorkowski</v>
      </c>
      <c r="I199" s="11" t="str">
        <f>IFERROR(__xludf.DUMMYFUNCTION("""COMPUTED_VALUE"""),"High")</f>
        <v>High</v>
      </c>
      <c r="J199" s="11"/>
      <c r="K199" s="11"/>
      <c r="L199" s="11"/>
      <c r="M199" s="11" t="str">
        <f>IFERROR(__xludf.DUMMYFUNCTION("""COMPUTED_VALUE"""),"A02 - Links")</f>
        <v>A02 - Links</v>
      </c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 t="str">
        <f>IFERROR(__xludf.DUMMYFUNCTION("""COMPUTED_VALUE"""),"SU_A03_T001")</f>
        <v>SU_A03_T001</v>
      </c>
      <c r="B200" s="11" t="str">
        <f>IFERROR(__xludf.DUMMYFUNCTION("""COMPUTED_VALUE"""),"Clevises manufacturing")</f>
        <v>Clevises manufacturing</v>
      </c>
      <c r="C200" s="11" t="str">
        <f>IFERROR(__xludf.DUMMYFUNCTION("""COMPUTED_VALUE"""),"Suspension")</f>
        <v>Suspension</v>
      </c>
      <c r="D200" s="20">
        <f>IFERROR(__xludf.DUMMYFUNCTION("""COMPUTED_VALUE"""),46327.0)</f>
        <v>46327</v>
      </c>
      <c r="E200" s="20">
        <f>IFERROR(__xludf.DUMMYFUNCTION("""COMPUTED_VALUE"""),46402.0)</f>
        <v>46402</v>
      </c>
      <c r="F200" s="11" t="str">
        <f>IFERROR(__xludf.DUMMYFUNCTION("""COMPUTED_VALUE"""),"Not Started")</f>
        <v>Not Started</v>
      </c>
      <c r="G200" s="11"/>
      <c r="H200" s="11"/>
      <c r="I200" s="11"/>
      <c r="J200" s="11"/>
      <c r="K200" s="11"/>
      <c r="L200" s="11"/>
      <c r="M200" s="11" t="str">
        <f>IFERROR(__xludf.DUMMYFUNCTION("""COMPUTED_VALUE"""),"A03 - Clevises")</f>
        <v>A03 - Clevises</v>
      </c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 t="str">
        <f>IFERROR(__xludf.DUMMYFUNCTION("""COMPUTED_VALUE"""),"SU_A03_T002")</f>
        <v>SU_A03_T002</v>
      </c>
      <c r="B201" s="11" t="str">
        <f>IFERROR(__xludf.DUMMYFUNCTION("""COMPUTED_VALUE"""),"Devcon Clevises")</f>
        <v>Devcon Clevises</v>
      </c>
      <c r="C201" s="11" t="str">
        <f>IFERROR(__xludf.DUMMYFUNCTION("""COMPUTED_VALUE"""),"Suspension")</f>
        <v>Suspension</v>
      </c>
      <c r="D201" s="20">
        <f>IFERROR(__xludf.DUMMYFUNCTION("""COMPUTED_VALUE"""),46408.0)</f>
        <v>46408</v>
      </c>
      <c r="E201" s="20">
        <f>IFERROR(__xludf.DUMMYFUNCTION("""COMPUTED_VALUE"""),46409.0)</f>
        <v>46409</v>
      </c>
      <c r="F201" s="11" t="str">
        <f>IFERROR(__xludf.DUMMYFUNCTION("""COMPUTED_VALUE"""),"Not Started")</f>
        <v>Not Started</v>
      </c>
      <c r="G201" s="11"/>
      <c r="H201" s="11"/>
      <c r="I201" s="11"/>
      <c r="J201" s="11"/>
      <c r="K201" s="11"/>
      <c r="L201" s="11"/>
      <c r="M201" s="11" t="str">
        <f>IFERROR(__xludf.DUMMYFUNCTION("""COMPUTED_VALUE"""),"A03 - Clevises")</f>
        <v>A03 - Clevises</v>
      </c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 t="str">
        <f>IFERROR(__xludf.DUMMYFUNCTION("""COMPUTED_VALUE"""),"SU_A04_T001")</f>
        <v>SU_A04_T001</v>
      </c>
      <c r="B202" s="11" t="str">
        <f>IFERROR(__xludf.DUMMYFUNCTION("""COMPUTED_VALUE"""),"Rockers outsourced")</f>
        <v>Rockers outsourced</v>
      </c>
      <c r="C202" s="11" t="str">
        <f>IFERROR(__xludf.DUMMYFUNCTION("""COMPUTED_VALUE"""),"Suspension")</f>
        <v>Suspension</v>
      </c>
      <c r="D202" s="20">
        <f>IFERROR(__xludf.DUMMYFUNCTION("""COMPUTED_VALUE"""),46327.0)</f>
        <v>46327</v>
      </c>
      <c r="E202" s="20">
        <f>IFERROR(__xludf.DUMMYFUNCTION("""COMPUTED_VALUE"""),46402.0)</f>
        <v>46402</v>
      </c>
      <c r="F202" s="11" t="str">
        <f>IFERROR(__xludf.DUMMYFUNCTION("""COMPUTED_VALUE"""),"Not Started")</f>
        <v>Not Started</v>
      </c>
      <c r="G202" s="11"/>
      <c r="H202" s="11" t="str">
        <f>IFERROR(__xludf.DUMMYFUNCTION("""COMPUTED_VALUE"""),"Aarian Mepani")</f>
        <v>Aarian Mepani</v>
      </c>
      <c r="I202" s="11"/>
      <c r="J202" s="11"/>
      <c r="K202" s="11"/>
      <c r="L202" s="11"/>
      <c r="M202" s="11" t="str">
        <f>IFERROR(__xludf.DUMMYFUNCTION("""COMPUTED_VALUE"""),"A04 - Rockers")</f>
        <v>A04 - Rockers</v>
      </c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 t="str">
        <f>IFERROR(__xludf.DUMMYFUNCTION("""COMPUTED_VALUE"""),"SU_A05_T001")</f>
        <v>SU_A05_T001</v>
      </c>
      <c r="B203" s="11" t="str">
        <f>IFERROR(__xludf.DUMMYFUNCTION("""COMPUTED_VALUE"""),"Lock down ARB architecture")</f>
        <v>Lock down ARB architecture</v>
      </c>
      <c r="C203" s="11" t="str">
        <f>IFERROR(__xludf.DUMMYFUNCTION("""COMPUTED_VALUE"""),"Suspension")</f>
        <v>Suspension</v>
      </c>
      <c r="D203" s="20"/>
      <c r="E203" s="20">
        <f>IFERROR(__xludf.DUMMYFUNCTION("""COMPUTED_VALUE"""),46286.0)</f>
        <v>46286</v>
      </c>
      <c r="F203" s="11" t="str">
        <f>IFERROR(__xludf.DUMMYFUNCTION("""COMPUTED_VALUE"""),"Not Started")</f>
        <v>Not Started</v>
      </c>
      <c r="G203" s="11"/>
      <c r="H203" s="11" t="str">
        <f>IFERROR(__xludf.DUMMYFUNCTION("""COMPUTED_VALUE"""),"Alice Jones")</f>
        <v>Alice Jones</v>
      </c>
      <c r="I203" s="11" t="str">
        <f>IFERROR(__xludf.DUMMYFUNCTION("""COMPUTED_VALUE"""),"High")</f>
        <v>High</v>
      </c>
      <c r="J203" s="11"/>
      <c r="K203" s="11" t="str">
        <f>IFERROR(__xludf.DUMMYFUNCTION("""COMPUTED_VALUE"""),"Decide on ARB front and rear architecture")</f>
        <v>Decide on ARB front and rear architecture</v>
      </c>
      <c r="L203" s="11"/>
      <c r="M203" s="11" t="str">
        <f>IFERROR(__xludf.DUMMYFUNCTION("""COMPUTED_VALUE"""),"A05 - Anti-Roll")</f>
        <v>A05 - Anti-Roll</v>
      </c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 t="str">
        <f>IFERROR(__xludf.DUMMYFUNCTION("""COMPUTED_VALUE"""),"SU_A05_T002")</f>
        <v>SU_A05_T002</v>
      </c>
      <c r="B204" s="11" t="str">
        <f>IFERROR(__xludf.DUMMYFUNCTION("""COMPUTED_VALUE"""),"First ARB CAD pass")</f>
        <v>First ARB CAD pass</v>
      </c>
      <c r="C204" s="11" t="str">
        <f>IFERROR(__xludf.DUMMYFUNCTION("""COMPUTED_VALUE"""),"Suspension")</f>
        <v>Suspension</v>
      </c>
      <c r="D204" s="20"/>
      <c r="E204" s="20">
        <f>IFERROR(__xludf.DUMMYFUNCTION("""COMPUTED_VALUE"""),46293.0)</f>
        <v>46293</v>
      </c>
      <c r="F204" s="11" t="str">
        <f>IFERROR(__xludf.DUMMYFUNCTION("""COMPUTED_VALUE"""),"Not Started")</f>
        <v>Not Started</v>
      </c>
      <c r="G204" s="11"/>
      <c r="H204" s="11" t="str">
        <f>IFERROR(__xludf.DUMMYFUNCTION("""COMPUTED_VALUE"""),"Alice Jones")</f>
        <v>Alice Jones</v>
      </c>
      <c r="I204" s="11" t="str">
        <f>IFERROR(__xludf.DUMMYFUNCTION("""COMPUTED_VALUE"""),"Medium")</f>
        <v>Medium</v>
      </c>
      <c r="J204" s="11"/>
      <c r="K204" s="11" t="str">
        <f>IFERROR(__xludf.DUMMYFUNCTION("""COMPUTED_VALUE"""),"Have an initial CAD assembly ready for PDR")</f>
        <v>Have an initial CAD assembly ready for PDR</v>
      </c>
      <c r="L204" s="11"/>
      <c r="M204" s="11" t="str">
        <f>IFERROR(__xludf.DUMMYFUNCTION("""COMPUTED_VALUE"""),"A05 - Anti-Roll")</f>
        <v>A05 - Anti-Roll</v>
      </c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 t="str">
        <f>IFERROR(__xludf.DUMMYFUNCTION("""COMPUTED_VALUE"""),"SU_A05_T003")</f>
        <v>SU_A05_T003</v>
      </c>
      <c r="B205" s="11" t="str">
        <f>IFERROR(__xludf.DUMMYFUNCTION("""COMPUTED_VALUE"""),"Refine torsion bar sizing, Optimise blade geometry, Validate stiffness targets")</f>
        <v>Refine torsion bar sizing, Optimise blade geometry, Validate stiffness targets</v>
      </c>
      <c r="C205" s="11" t="str">
        <f>IFERROR(__xludf.DUMMYFUNCTION("""COMPUTED_VALUE"""),"Suspension")</f>
        <v>Suspension</v>
      </c>
      <c r="D205" s="20">
        <f>IFERROR(__xludf.DUMMYFUNCTION("""COMPUTED_VALUE"""),46293.0)</f>
        <v>46293</v>
      </c>
      <c r="E205" s="20">
        <f>IFERROR(__xludf.DUMMYFUNCTION("""COMPUTED_VALUE"""),46319.0)</f>
        <v>46319</v>
      </c>
      <c r="F205" s="11" t="str">
        <f>IFERROR(__xludf.DUMMYFUNCTION("""COMPUTED_VALUE"""),"Not Started")</f>
        <v>Not Started</v>
      </c>
      <c r="G205" s="11"/>
      <c r="H205" s="11" t="str">
        <f>IFERROR(__xludf.DUMMYFUNCTION("""COMPUTED_VALUE"""),"Alice Jones")</f>
        <v>Alice Jones</v>
      </c>
      <c r="I205" s="11" t="str">
        <f>IFERROR(__xludf.DUMMYFUNCTION("""COMPUTED_VALUE"""),"Medium")</f>
        <v>Medium</v>
      </c>
      <c r="J205" s="11"/>
      <c r="K205" s="11"/>
      <c r="L205" s="11"/>
      <c r="M205" s="11" t="str">
        <f>IFERROR(__xludf.DUMMYFUNCTION("""COMPUTED_VALUE"""),"A05 - Anti-Roll")</f>
        <v>A05 - Anti-Roll</v>
      </c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 t="str">
        <f>IFERROR(__xludf.DUMMYFUNCTION("""COMPUTED_VALUE"""),"SU_A05_T004")</f>
        <v>SU_A05_T004</v>
      </c>
      <c r="B206" s="11" t="str">
        <f>IFERROR(__xludf.DUMMYFUNCTION("""COMPUTED_VALUE"""),"Design ARB Mounts and Adapters")</f>
        <v>Design ARB Mounts and Adapters</v>
      </c>
      <c r="C206" s="11" t="str">
        <f>IFERROR(__xludf.DUMMYFUNCTION("""COMPUTED_VALUE"""),"Suspension")</f>
        <v>Suspension</v>
      </c>
      <c r="D206" s="20">
        <f>IFERROR(__xludf.DUMMYFUNCTION("""COMPUTED_VALUE"""),46305.0)</f>
        <v>46305</v>
      </c>
      <c r="E206" s="20">
        <f>IFERROR(__xludf.DUMMYFUNCTION("""COMPUTED_VALUE"""),46319.0)</f>
        <v>46319</v>
      </c>
      <c r="F206" s="11" t="str">
        <f>IFERROR(__xludf.DUMMYFUNCTION("""COMPUTED_VALUE"""),"Not Started")</f>
        <v>Not Started</v>
      </c>
      <c r="G206" s="11"/>
      <c r="H206" s="11" t="str">
        <f>IFERROR(__xludf.DUMMYFUNCTION("""COMPUTED_VALUE"""),"Alice Jones")</f>
        <v>Alice Jones</v>
      </c>
      <c r="I206" s="11" t="str">
        <f>IFERROR(__xludf.DUMMYFUNCTION("""COMPUTED_VALUE"""),"Medium")</f>
        <v>Medium</v>
      </c>
      <c r="J206" s="11"/>
      <c r="K206" s="11"/>
      <c r="L206" s="11"/>
      <c r="M206" s="11" t="str">
        <f>IFERROR(__xludf.DUMMYFUNCTION("""COMPUTED_VALUE"""),"A05 - Anti-Roll")</f>
        <v>A05 - Anti-Roll</v>
      </c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 t="str">
        <f>IFERROR(__xludf.DUMMYFUNCTION("""COMPUTED_VALUE"""),"SU_A05_T005")</f>
        <v>SU_A05_T005</v>
      </c>
      <c r="B207" s="11" t="str">
        <f>IFERROR(__xludf.DUMMYFUNCTION("""COMPUTED_VALUE"""),"ARB CAD Freeze")</f>
        <v>ARB CAD Freeze</v>
      </c>
      <c r="C207" s="11" t="str">
        <f>IFERROR(__xludf.DUMMYFUNCTION("""COMPUTED_VALUE"""),"Suspension")</f>
        <v>Suspension</v>
      </c>
      <c r="D207" s="20">
        <f>IFERROR(__xludf.DUMMYFUNCTION("""COMPUTED_VALUE"""),46319.0)</f>
        <v>46319</v>
      </c>
      <c r="E207" s="20">
        <f>IFERROR(__xludf.DUMMYFUNCTION("""COMPUTED_VALUE"""),46331.0)</f>
        <v>46331</v>
      </c>
      <c r="F207" s="11" t="str">
        <f>IFERROR(__xludf.DUMMYFUNCTION("""COMPUTED_VALUE"""),"Not Started")</f>
        <v>Not Started</v>
      </c>
      <c r="G207" s="11"/>
      <c r="H207" s="11" t="str">
        <f>IFERROR(__xludf.DUMMYFUNCTION("""COMPUTED_VALUE"""),"Alice Jones")</f>
        <v>Alice Jones</v>
      </c>
      <c r="I207" s="11" t="str">
        <f>IFERROR(__xludf.DUMMYFUNCTION("""COMPUTED_VALUE"""),"Medium")</f>
        <v>Medium</v>
      </c>
      <c r="J207" s="11"/>
      <c r="K207" s="11"/>
      <c r="L207" s="11" t="str">
        <f>IFERROR(__xludf.DUMMYFUNCTION("""COMPUTED_VALUE"""),"Straight After FDR")</f>
        <v>Straight After FDR</v>
      </c>
      <c r="M207" s="11" t="str">
        <f>IFERROR(__xludf.DUMMYFUNCTION("""COMPUTED_VALUE"""),"A05 - Anti-Roll")</f>
        <v>A05 - Anti-Roll</v>
      </c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 t="str">
        <f>IFERROR(__xludf.DUMMYFUNCTION("""COMPUTED_VALUE"""),"SU_A05_T006")</f>
        <v>SU_A05_T006</v>
      </c>
      <c r="B208" s="11" t="str">
        <f>IFERROR(__xludf.DUMMYFUNCTION("""COMPUTED_VALUE"""),"Place orders for outsourced ARB components")</f>
        <v>Place orders for outsourced ARB components</v>
      </c>
      <c r="C208" s="11" t="str">
        <f>IFERROR(__xludf.DUMMYFUNCTION("""COMPUTED_VALUE"""),"Suspension")</f>
        <v>Suspension</v>
      </c>
      <c r="D208" s="20">
        <f>IFERROR(__xludf.DUMMYFUNCTION("""COMPUTED_VALUE"""),46331.0)</f>
        <v>46331</v>
      </c>
      <c r="E208" s="20">
        <f>IFERROR(__xludf.DUMMYFUNCTION("""COMPUTED_VALUE"""),46334.0)</f>
        <v>46334</v>
      </c>
      <c r="F208" s="11" t="str">
        <f>IFERROR(__xludf.DUMMYFUNCTION("""COMPUTED_VALUE"""),"Not Started")</f>
        <v>Not Started</v>
      </c>
      <c r="G208" s="11"/>
      <c r="H208" s="11" t="str">
        <f>IFERROR(__xludf.DUMMYFUNCTION("""COMPUTED_VALUE"""),"Alice Jones")</f>
        <v>Alice Jones</v>
      </c>
      <c r="I208" s="11" t="str">
        <f>IFERROR(__xludf.DUMMYFUNCTION("""COMPUTED_VALUE"""),"Medium")</f>
        <v>Medium</v>
      </c>
      <c r="J208" s="11"/>
      <c r="K208" s="11"/>
      <c r="L208" s="11"/>
      <c r="M208" s="11" t="str">
        <f>IFERROR(__xludf.DUMMYFUNCTION("""COMPUTED_VALUE"""),"A05 - Anti-Roll")</f>
        <v>A05 - Anti-Roll</v>
      </c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 t="str">
        <f>IFERROR(__xludf.DUMMYFUNCTION("""COMPUTED_VALUE"""),"SU_A05_T007")</f>
        <v>SU_A05_T007</v>
      </c>
      <c r="B209" s="11" t="str">
        <f>IFERROR(__xludf.DUMMYFUNCTION("""COMPUTED_VALUE"""),"Manufacture 50% of in-house ARB components")</f>
        <v>Manufacture 50% of in-house ARB components</v>
      </c>
      <c r="C209" s="11" t="str">
        <f>IFERROR(__xludf.DUMMYFUNCTION("""COMPUTED_VALUE"""),"Suspension")</f>
        <v>Suspension</v>
      </c>
      <c r="D209" s="20">
        <f>IFERROR(__xludf.DUMMYFUNCTION("""COMPUTED_VALUE"""),46334.0)</f>
        <v>46334</v>
      </c>
      <c r="E209" s="20">
        <f>IFERROR(__xludf.DUMMYFUNCTION("""COMPUTED_VALUE"""),46369.0)</f>
        <v>46369</v>
      </c>
      <c r="F209" s="11" t="str">
        <f>IFERROR(__xludf.DUMMYFUNCTION("""COMPUTED_VALUE"""),"Not Started")</f>
        <v>Not Started</v>
      </c>
      <c r="G209" s="11"/>
      <c r="H209" s="11" t="str">
        <f>IFERROR(__xludf.DUMMYFUNCTION("""COMPUTED_VALUE"""),"Alice Jones")</f>
        <v>Alice Jones</v>
      </c>
      <c r="I209" s="11" t="str">
        <f>IFERROR(__xludf.DUMMYFUNCTION("""COMPUTED_VALUE"""),"Medium")</f>
        <v>Medium</v>
      </c>
      <c r="J209" s="11"/>
      <c r="K209" s="11"/>
      <c r="L209" s="11"/>
      <c r="M209" s="11" t="str">
        <f>IFERROR(__xludf.DUMMYFUNCTION("""COMPUTED_VALUE"""),"A05 - Anti-Roll")</f>
        <v>A05 - Anti-Roll</v>
      </c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 t="str">
        <f>IFERROR(__xludf.DUMMYFUNCTION("""COMPUTED_VALUE"""),"SU_A05_T008")</f>
        <v>SU_A05_T008</v>
      </c>
      <c r="B210" s="11" t="str">
        <f>IFERROR(__xludf.DUMMYFUNCTION("""COMPUTED_VALUE"""),"Complete remaining ARB machining")</f>
        <v>Complete remaining ARB machining</v>
      </c>
      <c r="C210" s="11" t="str">
        <f>IFERROR(__xludf.DUMMYFUNCTION("""COMPUTED_VALUE"""),"Suspension")</f>
        <v>Suspension</v>
      </c>
      <c r="D210" s="20">
        <f>IFERROR(__xludf.DUMMYFUNCTION("""COMPUTED_VALUE"""),46388.0)</f>
        <v>46388</v>
      </c>
      <c r="E210" s="20">
        <f>IFERROR(__xludf.DUMMYFUNCTION("""COMPUTED_VALUE"""),46402.0)</f>
        <v>46402</v>
      </c>
      <c r="F210" s="11" t="str">
        <f>IFERROR(__xludf.DUMMYFUNCTION("""COMPUTED_VALUE"""),"Not Started")</f>
        <v>Not Started</v>
      </c>
      <c r="G210" s="11"/>
      <c r="H210" s="11" t="str">
        <f>IFERROR(__xludf.DUMMYFUNCTION("""COMPUTED_VALUE"""),"Alice Jones")</f>
        <v>Alice Jones</v>
      </c>
      <c r="I210" s="11" t="str">
        <f>IFERROR(__xludf.DUMMYFUNCTION("""COMPUTED_VALUE"""),"Medium")</f>
        <v>Medium</v>
      </c>
      <c r="J210" s="11"/>
      <c r="K210" s="11"/>
      <c r="L210" s="11"/>
      <c r="M210" s="11" t="str">
        <f>IFERROR(__xludf.DUMMYFUNCTION("""COMPUTED_VALUE"""),"A05 - Anti-Roll")</f>
        <v>A05 - Anti-Roll</v>
      </c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 t="str">
        <f>IFERROR(__xludf.DUMMYFUNCTION("""COMPUTED_VALUE"""),"SU_A05_T009")</f>
        <v>SU_A05_T009</v>
      </c>
      <c r="B211" s="11" t="str">
        <f>IFERROR(__xludf.DUMMYFUNCTION("""COMPUTED_VALUE"""),"Assemble complete ARB")</f>
        <v>Assemble complete ARB</v>
      </c>
      <c r="C211" s="11" t="str">
        <f>IFERROR(__xludf.DUMMYFUNCTION("""COMPUTED_VALUE"""),"Suspension")</f>
        <v>Suspension</v>
      </c>
      <c r="D211" s="20">
        <f>IFERROR(__xludf.DUMMYFUNCTION("""COMPUTED_VALUE"""),46402.0)</f>
        <v>46402</v>
      </c>
      <c r="E211" s="20">
        <f>IFERROR(__xludf.DUMMYFUNCTION("""COMPUTED_VALUE"""),46405.0)</f>
        <v>46405</v>
      </c>
      <c r="F211" s="11" t="str">
        <f>IFERROR(__xludf.DUMMYFUNCTION("""COMPUTED_VALUE"""),"Not Started")</f>
        <v>Not Started</v>
      </c>
      <c r="G211" s="11"/>
      <c r="H211" s="11" t="str">
        <f>IFERROR(__xludf.DUMMYFUNCTION("""COMPUTED_VALUE"""),"Alice Jones")</f>
        <v>Alice Jones</v>
      </c>
      <c r="I211" s="11" t="str">
        <f>IFERROR(__xludf.DUMMYFUNCTION("""COMPUTED_VALUE"""),"Medium")</f>
        <v>Medium</v>
      </c>
      <c r="J211" s="11"/>
      <c r="K211" s="11"/>
      <c r="L211" s="11"/>
      <c r="M211" s="11" t="str">
        <f>IFERROR(__xludf.DUMMYFUNCTION("""COMPUTED_VALUE"""),"A05 - Anti-Roll")</f>
        <v>A05 - Anti-Roll</v>
      </c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 t="str">
        <f>IFERROR(__xludf.DUMMYFUNCTION("""COMPUTED_VALUE"""),"SU_A05_T010")</f>
        <v>SU_A05_T010</v>
      </c>
      <c r="B212" s="11" t="str">
        <f>IFERROR(__xludf.DUMMYFUNCTION("""COMPUTED_VALUE"""),"Integrate ARB onto chassis with other suspension components")</f>
        <v>Integrate ARB onto chassis with other suspension components</v>
      </c>
      <c r="C212" s="11" t="str">
        <f>IFERROR(__xludf.DUMMYFUNCTION("""COMPUTED_VALUE"""),"Suspension")</f>
        <v>Suspension</v>
      </c>
      <c r="D212" s="20">
        <f>IFERROR(__xludf.DUMMYFUNCTION("""COMPUTED_VALUE"""),46405.0)</f>
        <v>46405</v>
      </c>
      <c r="E212" s="20">
        <f>IFERROR(__xludf.DUMMYFUNCTION("""COMPUTED_VALUE"""),46411.0)</f>
        <v>46411</v>
      </c>
      <c r="F212" s="11" t="str">
        <f>IFERROR(__xludf.DUMMYFUNCTION("""COMPUTED_VALUE"""),"Not Started")</f>
        <v>Not Started</v>
      </c>
      <c r="G212" s="11"/>
      <c r="H212" s="11" t="str">
        <f>IFERROR(__xludf.DUMMYFUNCTION("""COMPUTED_VALUE"""),"Alice Jones")</f>
        <v>Alice Jones</v>
      </c>
      <c r="I212" s="11" t="str">
        <f>IFERROR(__xludf.DUMMYFUNCTION("""COMPUTED_VALUE"""),"Medium")</f>
        <v>Medium</v>
      </c>
      <c r="J212" s="11"/>
      <c r="K212" s="11"/>
      <c r="L212" s="11"/>
      <c r="M212" s="11" t="str">
        <f>IFERROR(__xludf.DUMMYFUNCTION("""COMPUTED_VALUE"""),"A05 - Anti-Roll")</f>
        <v>A05 - Anti-Roll</v>
      </c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 t="str">
        <f>IFERROR(__xludf.DUMMYFUNCTION("""COMPUTED_VALUE"""),"BU_A01_T001")</f>
        <v>BU_A01_T001</v>
      </c>
      <c r="B213" s="11" t="str">
        <f>IFERROR(__xludf.DUMMYFUNCTION("""COMPUTED_VALUE"""),"Professonally Wrap Car")</f>
        <v>Professonally Wrap Car</v>
      </c>
      <c r="C213" s="11" t="str">
        <f>IFERROR(__xludf.DUMMYFUNCTION("""COMPUTED_VALUE"""),"Business")</f>
        <v>Business</v>
      </c>
      <c r="D213" s="20">
        <f>IFERROR(__xludf.DUMMYFUNCTION("""COMPUTED_VALUE"""),46430.0)</f>
        <v>46430</v>
      </c>
      <c r="E213" s="20">
        <f>IFERROR(__xludf.DUMMYFUNCTION("""COMPUTED_VALUE"""),46433.0)</f>
        <v>46433</v>
      </c>
      <c r="F213" s="11" t="str">
        <f>IFERROR(__xludf.DUMMYFUNCTION("""COMPUTED_VALUE"""),"Not Started")</f>
        <v>Not Started</v>
      </c>
      <c r="G213" s="11"/>
      <c r="H213" s="11"/>
      <c r="I213" s="11" t="str">
        <f>IFERROR(__xludf.DUMMYFUNCTION("""COMPUTED_VALUE"""),"High")</f>
        <v>High</v>
      </c>
      <c r="J213" s="11"/>
      <c r="K213" s="11"/>
      <c r="L213" s="11"/>
      <c r="M213" s="11" t="str">
        <f>IFERROR(__xludf.DUMMYFUNCTION("""COMPUTED_VALUE"""),"A01 - Business")</f>
        <v>A01 - Business</v>
      </c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 t="str">
        <f>IFERROR(__xludf.DUMMYFUNCTION("""COMPUTED_VALUE"""),"BU_A01_T003")</f>
        <v>BU_A01_T003</v>
      </c>
      <c r="B214" s="11" t="str">
        <f>IFERROR(__xludf.DUMMYFUNCTION("""COMPUTED_VALUE"""),"Finalize Comp Documents")</f>
        <v>Finalize Comp Documents</v>
      </c>
      <c r="C214" s="11" t="str">
        <f>IFERROR(__xludf.DUMMYFUNCTION("""COMPUTED_VALUE"""),"Business")</f>
        <v>Business</v>
      </c>
      <c r="D214" s="20">
        <f>IFERROR(__xludf.DUMMYFUNCTION("""COMPUTED_VALUE"""),46508.0)</f>
        <v>46508</v>
      </c>
      <c r="E214" s="20">
        <f>IFERROR(__xludf.DUMMYFUNCTION("""COMPUTED_VALUE"""),46512.0)</f>
        <v>46512</v>
      </c>
      <c r="F214" s="11"/>
      <c r="G214" s="11"/>
      <c r="H214" s="11"/>
      <c r="I214" s="11"/>
      <c r="J214" s="11"/>
      <c r="K214" s="11"/>
      <c r="L214" s="11"/>
      <c r="M214" s="11" t="str">
        <f>IFERROR(__xludf.DUMMYFUNCTION("""COMPUTED_VALUE"""),"A01 - Business")</f>
        <v>A01 - Business</v>
      </c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 t="str">
        <f>IFERROR(__xludf.DUMMYFUNCTION("""COMPUTED_VALUE"""),"BU_A02_T001")</f>
        <v>BU_A02_T001</v>
      </c>
      <c r="B215" s="11" t="str">
        <f>IFERROR(__xludf.DUMMYFUNCTION("""COMPUTED_VALUE"""),"Publish Purchasing sheet")</f>
        <v>Publish Purchasing sheet</v>
      </c>
      <c r="C215" s="11" t="str">
        <f>IFERROR(__xludf.DUMMYFUNCTION("""COMPUTED_VALUE"""),"Business")</f>
        <v>Business</v>
      </c>
      <c r="D215" s="20">
        <f>IFERROR(__xludf.DUMMYFUNCTION("""COMPUTED_VALUE"""),46262.0)</f>
        <v>46262</v>
      </c>
      <c r="E215" s="20">
        <f>IFERROR(__xludf.DUMMYFUNCTION("""COMPUTED_VALUE"""),46264.0)</f>
        <v>46264</v>
      </c>
      <c r="F215" s="11" t="str">
        <f>IFERROR(__xludf.DUMMYFUNCTION("""COMPUTED_VALUE"""),"In Progress")</f>
        <v>In Progress</v>
      </c>
      <c r="G215" s="11"/>
      <c r="H215" s="11"/>
      <c r="I215" s="11" t="str">
        <f>IFERROR(__xludf.DUMMYFUNCTION("""COMPUTED_VALUE"""),"High")</f>
        <v>High</v>
      </c>
      <c r="J215" s="11"/>
      <c r="K215" s="11"/>
      <c r="L215" s="11"/>
      <c r="M215" s="11" t="str">
        <f>IFERROR(__xludf.DUMMYFUNCTION("""COMPUTED_VALUE"""),"A02 - Purchasing")</f>
        <v>A02 - Purchasing</v>
      </c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 t="str">
        <f>IFERROR(__xludf.DUMMYFUNCTION("""COMPUTED_VALUE"""),"BU_A03_T001")</f>
        <v>BU_A03_T001</v>
      </c>
      <c r="B216" s="11" t="str">
        <f>IFERROR(__xludf.DUMMYFUNCTION("""COMPUTED_VALUE"""),"Upperclassmen Delibs 1")</f>
        <v>Upperclassmen Delibs 1</v>
      </c>
      <c r="C216" s="11" t="str">
        <f>IFERROR(__xludf.DUMMYFUNCTION("""COMPUTED_VALUE"""),"Business")</f>
        <v>Business</v>
      </c>
      <c r="D216" s="20">
        <f>IFERROR(__xludf.DUMMYFUNCTION("""COMPUTED_VALUE"""),46273.0)</f>
        <v>46273</v>
      </c>
      <c r="E216" s="20">
        <f>IFERROR(__xludf.DUMMYFUNCTION("""COMPUTED_VALUE"""),46273.0)</f>
        <v>46273</v>
      </c>
      <c r="F216" s="11" t="str">
        <f>IFERROR(__xludf.DUMMYFUNCTION("""COMPUTED_VALUE"""),"Not Started")</f>
        <v>Not Started</v>
      </c>
      <c r="G216" s="11"/>
      <c r="H216" s="11"/>
      <c r="I216" s="11"/>
      <c r="J216" s="11"/>
      <c r="K216" s="11"/>
      <c r="L216" s="11"/>
      <c r="M216" s="11" t="str">
        <f>IFERROR(__xludf.DUMMYFUNCTION("""COMPUTED_VALUE"""),"A03 - Recruitment")</f>
        <v>A03 - Recruitment</v>
      </c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 t="str">
        <f>IFERROR(__xludf.DUMMYFUNCTION("""COMPUTED_VALUE"""),"BU_A03_T002")</f>
        <v>BU_A03_T002</v>
      </c>
      <c r="B217" s="11" t="str">
        <f>IFERROR(__xludf.DUMMYFUNCTION("""COMPUTED_VALUE"""),"Upperclassmen interviews")</f>
        <v>Upperclassmen interviews</v>
      </c>
      <c r="C217" s="11" t="str">
        <f>IFERROR(__xludf.DUMMYFUNCTION("""COMPUTED_VALUE"""),"Business")</f>
        <v>Business</v>
      </c>
      <c r="D217" s="20">
        <f>IFERROR(__xludf.DUMMYFUNCTION("""COMPUTED_VALUE"""),46271.0)</f>
        <v>46271</v>
      </c>
      <c r="E217" s="20">
        <f>IFERROR(__xludf.DUMMYFUNCTION("""COMPUTED_VALUE"""),46279.0)</f>
        <v>46279</v>
      </c>
      <c r="F217" s="11"/>
      <c r="G217" s="11"/>
      <c r="H217" s="11"/>
      <c r="I217" s="11"/>
      <c r="J217" s="11"/>
      <c r="K217" s="11"/>
      <c r="L217" s="11"/>
      <c r="M217" s="11" t="str">
        <f>IFERROR(__xludf.DUMMYFUNCTION("""COMPUTED_VALUE"""),"A03 - Recruitment")</f>
        <v>A03 - Recruitment</v>
      </c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 t="str">
        <f>IFERROR(__xludf.DUMMYFUNCTION("""COMPUTED_VALUE"""),"BU_A03_T003")</f>
        <v>BU_A03_T003</v>
      </c>
      <c r="B218" s="11" t="str">
        <f>IFERROR(__xludf.DUMMYFUNCTION("""COMPUTED_VALUE"""),"Project Team Fest")</f>
        <v>Project Team Fest</v>
      </c>
      <c r="C218" s="11" t="str">
        <f>IFERROR(__xludf.DUMMYFUNCTION("""COMPUTED_VALUE"""),"Business")</f>
        <v>Business</v>
      </c>
      <c r="D218" s="20"/>
      <c r="E218" s="20">
        <f>IFERROR(__xludf.DUMMYFUNCTION("""COMPUTED_VALUE"""),46266.0)</f>
        <v>46266</v>
      </c>
      <c r="F218" s="11" t="str">
        <f>IFERROR(__xludf.DUMMYFUNCTION("""COMPUTED_VALUE"""),"Complete")</f>
        <v>Complete</v>
      </c>
      <c r="G218" s="11"/>
      <c r="H218" s="11"/>
      <c r="I218" s="11"/>
      <c r="J218" s="11"/>
      <c r="K218" s="11"/>
      <c r="L218" s="11"/>
      <c r="M218" s="11" t="str">
        <f>IFERROR(__xludf.DUMMYFUNCTION("""COMPUTED_VALUE"""),"A03 - Recruitment")</f>
        <v>A03 - Recruitment</v>
      </c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 t="str">
        <f>IFERROR(__xludf.DUMMYFUNCTION("""COMPUTED_VALUE"""),"BU_A03_T004")</f>
        <v>BU_A03_T004</v>
      </c>
      <c r="B219" s="11" t="str">
        <f>IFERROR(__xludf.DUMMYFUNCTION("""COMPUTED_VALUE"""),"Info Session 1")</f>
        <v>Info Session 1</v>
      </c>
      <c r="C219" s="11" t="str">
        <f>IFERROR(__xludf.DUMMYFUNCTION("""COMPUTED_VALUE"""),"Business")</f>
        <v>Business</v>
      </c>
      <c r="D219" s="20"/>
      <c r="E219" s="20">
        <f>IFERROR(__xludf.DUMMYFUNCTION("""COMPUTED_VALUE"""),46267.0)</f>
        <v>46267</v>
      </c>
      <c r="F219" s="11" t="str">
        <f>IFERROR(__xludf.DUMMYFUNCTION("""COMPUTED_VALUE"""),"Complete")</f>
        <v>Complete</v>
      </c>
      <c r="G219" s="11"/>
      <c r="H219" s="11"/>
      <c r="I219" s="11"/>
      <c r="J219" s="11"/>
      <c r="K219" s="11"/>
      <c r="L219" s="11"/>
      <c r="M219" s="11" t="str">
        <f>IFERROR(__xludf.DUMMYFUNCTION("""COMPUTED_VALUE"""),"A03 - Recruitment")</f>
        <v>A03 - Recruitment</v>
      </c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 t="str">
        <f>IFERROR(__xludf.DUMMYFUNCTION("""COMPUTED_VALUE"""),"BU_A03_T005")</f>
        <v>BU_A03_T005</v>
      </c>
      <c r="B220" s="11" t="str">
        <f>IFERROR(__xludf.DUMMYFUNCTION("""COMPUTED_VALUE"""),"Info Session 2")</f>
        <v>Info Session 2</v>
      </c>
      <c r="C220" s="11" t="str">
        <f>IFERROR(__xludf.DUMMYFUNCTION("""COMPUTED_VALUE"""),"Business")</f>
        <v>Business</v>
      </c>
      <c r="D220" s="20"/>
      <c r="E220" s="20">
        <f>IFERROR(__xludf.DUMMYFUNCTION("""COMPUTED_VALUE"""),46280.0)</f>
        <v>46280</v>
      </c>
      <c r="F220" s="11"/>
      <c r="G220" s="11"/>
      <c r="H220" s="11"/>
      <c r="I220" s="11"/>
      <c r="J220" s="11"/>
      <c r="K220" s="11"/>
      <c r="L220" s="11"/>
      <c r="M220" s="11" t="str">
        <f>IFERROR(__xludf.DUMMYFUNCTION("""COMPUTED_VALUE"""),"A03 - Recruitment")</f>
        <v>A03 - Recruitment</v>
      </c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 t="str">
        <f>IFERROR(__xludf.DUMMYFUNCTION("""COMPUTED_VALUE"""),"BU_A03_T006")</f>
        <v>BU_A03_T006</v>
      </c>
      <c r="B221" s="11" t="str">
        <f>IFERROR(__xludf.DUMMYFUNCTION("""COMPUTED_VALUE"""),"Info Session 3")</f>
        <v>Info Session 3</v>
      </c>
      <c r="C221" s="11" t="str">
        <f>IFERROR(__xludf.DUMMYFUNCTION("""COMPUTED_VALUE"""),"Business")</f>
        <v>Business</v>
      </c>
      <c r="D221" s="20"/>
      <c r="E221" s="20">
        <f>IFERROR(__xludf.DUMMYFUNCTION("""COMPUTED_VALUE"""),46286.0)</f>
        <v>46286</v>
      </c>
      <c r="F221" s="11"/>
      <c r="G221" s="11"/>
      <c r="H221" s="11"/>
      <c r="I221" s="11"/>
      <c r="J221" s="11"/>
      <c r="K221" s="11"/>
      <c r="L221" s="11"/>
      <c r="M221" s="11" t="str">
        <f>IFERROR(__xludf.DUMMYFUNCTION("""COMPUTED_VALUE"""),"A03 - Recruitment")</f>
        <v>A03 - Recruitment</v>
      </c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 t="str">
        <f>IFERROR(__xludf.DUMMYFUNCTION("""COMPUTED_VALUE"""),"BU_A03_T007")</f>
        <v>BU_A03_T007</v>
      </c>
      <c r="B222" s="11" t="str">
        <f>IFERROR(__xludf.DUMMYFUNCTION("""COMPUTED_VALUE"""),"Info Session 4")</f>
        <v>Info Session 4</v>
      </c>
      <c r="C222" s="11" t="str">
        <f>IFERROR(__xludf.DUMMYFUNCTION("""COMPUTED_VALUE"""),"Business")</f>
        <v>Business</v>
      </c>
      <c r="D222" s="20"/>
      <c r="E222" s="20">
        <f>IFERROR(__xludf.DUMMYFUNCTION("""COMPUTED_VALUE"""),46302.0)</f>
        <v>46302</v>
      </c>
      <c r="F222" s="11"/>
      <c r="G222" s="11"/>
      <c r="H222" s="11"/>
      <c r="I222" s="11"/>
      <c r="J222" s="11"/>
      <c r="K222" s="11"/>
      <c r="L222" s="11"/>
      <c r="M222" s="11" t="str">
        <f>IFERROR(__xludf.DUMMYFUNCTION("""COMPUTED_VALUE"""),"A03 - Recruitment")</f>
        <v>A03 - Recruitment</v>
      </c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 t="str">
        <f>IFERROR(__xludf.DUMMYFUNCTION("""COMPUTED_VALUE"""),"BU_A03_T008")</f>
        <v>BU_A03_T008</v>
      </c>
      <c r="B223" s="11" t="str">
        <f>IFERROR(__xludf.DUMMYFUNCTION("""COMPUTED_VALUE"""),"First Year Delibs 1")</f>
        <v>First Year Delibs 1</v>
      </c>
      <c r="C223" s="11" t="str">
        <f>IFERROR(__xludf.DUMMYFUNCTION("""COMPUTED_VALUE"""),"Business")</f>
        <v>Business</v>
      </c>
      <c r="D223" s="20">
        <f>IFERROR(__xludf.DUMMYFUNCTION("""COMPUTED_VALUE"""),46312.0)</f>
        <v>46312</v>
      </c>
      <c r="E223" s="20">
        <f>IFERROR(__xludf.DUMMYFUNCTION("""COMPUTED_VALUE"""),46313.0)</f>
        <v>46313</v>
      </c>
      <c r="F223" s="11"/>
      <c r="G223" s="11"/>
      <c r="H223" s="11"/>
      <c r="I223" s="11"/>
      <c r="J223" s="11"/>
      <c r="K223" s="11"/>
      <c r="L223" s="11"/>
      <c r="M223" s="11" t="str">
        <f>IFERROR(__xludf.DUMMYFUNCTION("""COMPUTED_VALUE"""),"A03 - Recruitment")</f>
        <v>A03 - Recruitment</v>
      </c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 t="str">
        <f>IFERROR(__xludf.DUMMYFUNCTION("""COMPUTED_VALUE"""),"BU_A03_T009")</f>
        <v>BU_A03_T009</v>
      </c>
      <c r="B224" s="11" t="str">
        <f>IFERROR(__xludf.DUMMYFUNCTION("""COMPUTED_VALUE"""),"Upperclassmen Final Delibs")</f>
        <v>Upperclassmen Final Delibs</v>
      </c>
      <c r="C224" s="11" t="str">
        <f>IFERROR(__xludf.DUMMYFUNCTION("""COMPUTED_VALUE"""),"Business")</f>
        <v>Business</v>
      </c>
      <c r="D224" s="20">
        <f>IFERROR(__xludf.DUMMYFUNCTION("""COMPUTED_VALUE"""),46307.0)</f>
        <v>46307</v>
      </c>
      <c r="E224" s="20">
        <f>IFERROR(__xludf.DUMMYFUNCTION("""COMPUTED_VALUE"""),46308.0)</f>
        <v>46308</v>
      </c>
      <c r="F224" s="11"/>
      <c r="G224" s="11"/>
      <c r="H224" s="11"/>
      <c r="I224" s="11"/>
      <c r="J224" s="11"/>
      <c r="K224" s="11"/>
      <c r="L224" s="11"/>
      <c r="M224" s="11" t="str">
        <f>IFERROR(__xludf.DUMMYFUNCTION("""COMPUTED_VALUE"""),"A03 - Recruitment")</f>
        <v>A03 - Recruitment</v>
      </c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 t="str">
        <f>IFERROR(__xludf.DUMMYFUNCTION("""COMPUTED_VALUE"""),"BU_A03_T010")</f>
        <v>BU_A03_T010</v>
      </c>
      <c r="B225" s="11" t="str">
        <f>IFERROR(__xludf.DUMMYFUNCTION("""COMPUTED_VALUE"""),"First Year Interviews")</f>
        <v>First Year Interviews</v>
      </c>
      <c r="C225" s="11" t="str">
        <f>IFERROR(__xludf.DUMMYFUNCTION("""COMPUTED_VALUE"""),"Business")</f>
        <v>Business</v>
      </c>
      <c r="D225" s="20">
        <f>IFERROR(__xludf.DUMMYFUNCTION("""COMPUTED_VALUE"""),46315.0)</f>
        <v>46315</v>
      </c>
      <c r="E225" s="20">
        <f>IFERROR(__xludf.DUMMYFUNCTION("""COMPUTED_VALUE"""),46322.0)</f>
        <v>46322</v>
      </c>
      <c r="F225" s="11"/>
      <c r="G225" s="11"/>
      <c r="H225" s="11"/>
      <c r="I225" s="11"/>
      <c r="J225" s="11"/>
      <c r="K225" s="11"/>
      <c r="L225" s="11"/>
      <c r="M225" s="11" t="str">
        <f>IFERROR(__xludf.DUMMYFUNCTION("""COMPUTED_VALUE"""),"A03 - Recruitment")</f>
        <v>A03 - Recruitment</v>
      </c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 t="str">
        <f>IFERROR(__xludf.DUMMYFUNCTION("""COMPUTED_VALUE"""),"BU_A03_T011")</f>
        <v>BU_A03_T011</v>
      </c>
      <c r="B226" s="11" t="str">
        <f>IFERROR(__xludf.DUMMYFUNCTION("""COMPUTED_VALUE"""),"First Year Final Delibs")</f>
        <v>First Year Final Delibs</v>
      </c>
      <c r="C226" s="11" t="str">
        <f>IFERROR(__xludf.DUMMYFUNCTION("""COMPUTED_VALUE"""),"Business")</f>
        <v>Business</v>
      </c>
      <c r="D226" s="20">
        <f>IFERROR(__xludf.DUMMYFUNCTION("""COMPUTED_VALUE"""),46326.0)</f>
        <v>46326</v>
      </c>
      <c r="E226" s="20">
        <f>IFERROR(__xludf.DUMMYFUNCTION("""COMPUTED_VALUE"""),46327.0)</f>
        <v>46327</v>
      </c>
      <c r="F226" s="11"/>
      <c r="G226" s="11"/>
      <c r="H226" s="11"/>
      <c r="I226" s="11"/>
      <c r="J226" s="11"/>
      <c r="K226" s="11"/>
      <c r="L226" s="11"/>
      <c r="M226" s="11" t="str">
        <f>IFERROR(__xludf.DUMMYFUNCTION("""COMPUTED_VALUE"""),"A03 - Recruitment")</f>
        <v>A03 - Recruitment</v>
      </c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 t="str">
        <f>IFERROR(__xludf.DUMMYFUNCTION("""COMPUTED_VALUE"""),"BU_A06_T001")</f>
        <v>BU_A06_T001</v>
      </c>
      <c r="B227" s="11" t="str">
        <f>IFERROR(__xludf.DUMMYFUNCTION("""COMPUTED_VALUE"""),"Finalize website")</f>
        <v>Finalize website</v>
      </c>
      <c r="C227" s="11" t="str">
        <f>IFERROR(__xludf.DUMMYFUNCTION("""COMPUTED_VALUE"""),"Business")</f>
        <v>Business</v>
      </c>
      <c r="D227" s="20">
        <f>IFERROR(__xludf.DUMMYFUNCTION("""COMPUTED_VALUE"""),46258.0)</f>
        <v>46258</v>
      </c>
      <c r="E227" s="20">
        <f>IFERROR(__xludf.DUMMYFUNCTION("""COMPUTED_VALUE"""),46261.0)</f>
        <v>46261</v>
      </c>
      <c r="F227" s="11" t="str">
        <f>IFERROR(__xludf.DUMMYFUNCTION("""COMPUTED_VALUE"""),"Complete")</f>
        <v>Complete</v>
      </c>
      <c r="G227" s="11"/>
      <c r="H227" s="11" t="str">
        <f>IFERROR(__xludf.DUMMYFUNCTION("""COMPUTED_VALUE"""),"Sayee Edekar")</f>
        <v>Sayee Edekar</v>
      </c>
      <c r="I227" s="11" t="str">
        <f>IFERROR(__xludf.DUMMYFUNCTION("""COMPUTED_VALUE"""),"Low")</f>
        <v>Low</v>
      </c>
      <c r="J227" s="11"/>
      <c r="K227" s="11"/>
      <c r="L227" s="11"/>
      <c r="M227" s="11" t="str">
        <f>IFERROR(__xludf.DUMMYFUNCTION("""COMPUTED_VALUE"""),"A06 - Website")</f>
        <v>A06 - Website</v>
      </c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58</v>
      </c>
      <c r="B1" s="23" t="s">
        <v>67</v>
      </c>
      <c r="C1" s="23" t="s">
        <v>0</v>
      </c>
      <c r="D1" s="23" t="s">
        <v>68</v>
      </c>
      <c r="E1" s="23" t="s">
        <v>69</v>
      </c>
      <c r="F1" s="23" t="s">
        <v>60</v>
      </c>
    </row>
    <row r="2">
      <c r="A2" s="24" t="str">
        <f t="array" ref="A2:F1145">{
  'Task Master'!A2:F2650;
  Milestones!A2:F2650
}</f>
        <v>GE_A00_T001</v>
      </c>
      <c r="B2" s="24" t="s">
        <v>245</v>
      </c>
      <c r="C2" s="24" t="s">
        <v>64</v>
      </c>
      <c r="D2" s="25">
        <v>46265.0</v>
      </c>
      <c r="E2" s="25">
        <v>46269.0</v>
      </c>
      <c r="F2" s="24" t="s">
        <v>80</v>
      </c>
    </row>
    <row r="3">
      <c r="A3" s="24" t="s">
        <v>246</v>
      </c>
      <c r="B3" s="24" t="s">
        <v>247</v>
      </c>
      <c r="C3" s="24" t="s">
        <v>64</v>
      </c>
      <c r="D3" s="25">
        <v>46286.0</v>
      </c>
      <c r="E3" s="25">
        <v>46295.0</v>
      </c>
      <c r="F3" s="24" t="s">
        <v>75</v>
      </c>
    </row>
    <row r="4">
      <c r="A4" s="24" t="s">
        <v>248</v>
      </c>
      <c r="B4" s="24" t="s">
        <v>249</v>
      </c>
      <c r="C4" s="24" t="s">
        <v>64</v>
      </c>
      <c r="D4" s="25">
        <v>46296.0</v>
      </c>
      <c r="E4" s="25">
        <v>46297.0</v>
      </c>
      <c r="F4" s="24" t="s">
        <v>75</v>
      </c>
    </row>
    <row r="5">
      <c r="A5" s="24" t="s">
        <v>250</v>
      </c>
      <c r="B5" s="24" t="s">
        <v>251</v>
      </c>
      <c r="C5" s="24" t="s">
        <v>64</v>
      </c>
      <c r="D5" s="25">
        <v>46293.0</v>
      </c>
      <c r="E5" s="25">
        <v>46295.0</v>
      </c>
      <c r="F5" s="24" t="s">
        <v>75</v>
      </c>
    </row>
    <row r="6">
      <c r="A6" s="24" t="s">
        <v>252</v>
      </c>
      <c r="B6" s="24" t="s">
        <v>253</v>
      </c>
      <c r="C6" s="24" t="s">
        <v>78</v>
      </c>
      <c r="D6" s="25">
        <v>46264.0</v>
      </c>
      <c r="E6" s="25">
        <v>46266.0</v>
      </c>
      <c r="F6" s="24" t="s">
        <v>95</v>
      </c>
    </row>
    <row r="7">
      <c r="A7" s="24" t="s">
        <v>254</v>
      </c>
      <c r="B7" s="24" t="s">
        <v>255</v>
      </c>
      <c r="C7" s="24" t="s">
        <v>78</v>
      </c>
      <c r="D7" s="25">
        <v>46264.0</v>
      </c>
      <c r="E7" s="25">
        <v>46265.0</v>
      </c>
      <c r="F7" s="24" t="s">
        <v>80</v>
      </c>
    </row>
    <row r="8">
      <c r="A8" s="24" t="s">
        <v>256</v>
      </c>
      <c r="B8" s="24" t="s">
        <v>257</v>
      </c>
      <c r="C8" s="24" t="s">
        <v>83</v>
      </c>
      <c r="D8" s="25">
        <v>46265.0</v>
      </c>
      <c r="E8" s="25">
        <v>46267.0</v>
      </c>
      <c r="F8" s="24" t="s">
        <v>75</v>
      </c>
    </row>
    <row r="9">
      <c r="A9" s="24" t="s">
        <v>258</v>
      </c>
      <c r="B9" s="24" t="s">
        <v>259</v>
      </c>
      <c r="C9" s="24" t="s">
        <v>83</v>
      </c>
      <c r="D9" s="25">
        <v>46266.0</v>
      </c>
      <c r="E9" s="25">
        <v>46270.0</v>
      </c>
      <c r="F9" s="24" t="s">
        <v>75</v>
      </c>
    </row>
    <row r="10">
      <c r="A10" s="24" t="s">
        <v>260</v>
      </c>
      <c r="B10" s="24" t="s">
        <v>261</v>
      </c>
      <c r="C10" s="24" t="s">
        <v>83</v>
      </c>
      <c r="D10" s="25">
        <v>46267.0</v>
      </c>
      <c r="E10" s="25">
        <v>46269.0</v>
      </c>
      <c r="F10" s="24" t="s">
        <v>95</v>
      </c>
    </row>
    <row r="11">
      <c r="A11" s="24" t="s">
        <v>262</v>
      </c>
      <c r="B11" s="24" t="s">
        <v>263</v>
      </c>
      <c r="C11" s="24" t="s">
        <v>88</v>
      </c>
      <c r="D11" s="25"/>
      <c r="E11" s="25"/>
      <c r="F11" s="24"/>
    </row>
    <row r="12">
      <c r="A12" s="24" t="s">
        <v>265</v>
      </c>
      <c r="B12" s="24" t="s">
        <v>266</v>
      </c>
      <c r="C12" s="24" t="s">
        <v>93</v>
      </c>
      <c r="D12" s="25">
        <v>46216.0</v>
      </c>
      <c r="E12" s="25">
        <v>46243.0</v>
      </c>
      <c r="F12" s="24" t="s">
        <v>90</v>
      </c>
    </row>
    <row r="13">
      <c r="A13" s="24" t="s">
        <v>267</v>
      </c>
      <c r="B13" s="24" t="s">
        <v>268</v>
      </c>
      <c r="C13" s="24" t="s">
        <v>93</v>
      </c>
      <c r="D13" s="25">
        <v>46235.0</v>
      </c>
      <c r="E13" s="25">
        <v>46266.0</v>
      </c>
      <c r="F13" s="24" t="s">
        <v>80</v>
      </c>
    </row>
    <row r="14">
      <c r="A14" s="24" t="s">
        <v>269</v>
      </c>
      <c r="B14" s="24" t="s">
        <v>270</v>
      </c>
      <c r="C14" s="24" t="s">
        <v>93</v>
      </c>
      <c r="D14" s="25">
        <v>46272.0</v>
      </c>
      <c r="E14" s="25">
        <v>46286.0</v>
      </c>
      <c r="F14" s="24" t="s">
        <v>75</v>
      </c>
    </row>
    <row r="15">
      <c r="A15" s="24" t="s">
        <v>271</v>
      </c>
      <c r="B15" s="24" t="s">
        <v>272</v>
      </c>
      <c r="C15" s="24" t="s">
        <v>93</v>
      </c>
      <c r="D15" s="25">
        <v>46286.0</v>
      </c>
      <c r="E15" s="25">
        <v>46296.0</v>
      </c>
      <c r="F15" s="24" t="s">
        <v>75</v>
      </c>
    </row>
    <row r="16">
      <c r="A16" s="24" t="s">
        <v>273</v>
      </c>
      <c r="B16" s="24" t="s">
        <v>274</v>
      </c>
      <c r="C16" s="24" t="s">
        <v>93</v>
      </c>
      <c r="D16" s="25">
        <v>46296.0</v>
      </c>
      <c r="E16" s="25">
        <v>46342.0</v>
      </c>
      <c r="F16" s="24" t="s">
        <v>75</v>
      </c>
    </row>
    <row r="17">
      <c r="A17" s="24" t="s">
        <v>275</v>
      </c>
      <c r="B17" s="24" t="s">
        <v>276</v>
      </c>
      <c r="C17" s="24" t="s">
        <v>93</v>
      </c>
      <c r="D17" s="25">
        <v>46349.0</v>
      </c>
      <c r="E17" s="25">
        <v>46357.0</v>
      </c>
      <c r="F17" s="24" t="s">
        <v>75</v>
      </c>
    </row>
    <row r="18">
      <c r="A18" s="24" t="s">
        <v>277</v>
      </c>
      <c r="B18" s="24" t="s">
        <v>278</v>
      </c>
      <c r="C18" s="24" t="s">
        <v>93</v>
      </c>
      <c r="D18" s="25">
        <v>46357.0</v>
      </c>
      <c r="E18" s="25">
        <v>46402.0</v>
      </c>
      <c r="F18" s="24" t="s">
        <v>75</v>
      </c>
    </row>
    <row r="19">
      <c r="A19" s="24" t="s">
        <v>279</v>
      </c>
      <c r="B19" s="24" t="s">
        <v>280</v>
      </c>
      <c r="C19" s="24" t="s">
        <v>93</v>
      </c>
      <c r="D19" s="25"/>
      <c r="E19" s="25"/>
      <c r="F19" s="24" t="s">
        <v>75</v>
      </c>
    </row>
    <row r="20">
      <c r="A20" s="24" t="s">
        <v>281</v>
      </c>
      <c r="B20" s="24" t="s">
        <v>282</v>
      </c>
      <c r="C20" s="24" t="s">
        <v>93</v>
      </c>
      <c r="D20" s="25"/>
      <c r="E20" s="25"/>
      <c r="F20" s="24" t="s">
        <v>75</v>
      </c>
    </row>
    <row r="21">
      <c r="A21" s="24" t="s">
        <v>283</v>
      </c>
      <c r="B21" s="24" t="s">
        <v>284</v>
      </c>
      <c r="C21" s="24" t="s">
        <v>93</v>
      </c>
      <c r="D21" s="25">
        <v>46243.0</v>
      </c>
      <c r="E21" s="25">
        <v>46272.0</v>
      </c>
      <c r="F21" s="24" t="s">
        <v>75</v>
      </c>
    </row>
    <row r="22">
      <c r="A22" s="24" t="s">
        <v>285</v>
      </c>
      <c r="B22" s="24" t="s">
        <v>286</v>
      </c>
      <c r="C22" s="24" t="s">
        <v>93</v>
      </c>
      <c r="D22" s="25"/>
      <c r="E22" s="25"/>
      <c r="F22" s="24" t="s">
        <v>80</v>
      </c>
    </row>
    <row r="23">
      <c r="A23" s="24" t="s">
        <v>287</v>
      </c>
      <c r="B23" s="24" t="s">
        <v>288</v>
      </c>
      <c r="C23" s="24" t="s">
        <v>93</v>
      </c>
      <c r="D23" s="25">
        <v>46239.0</v>
      </c>
      <c r="E23" s="25">
        <v>46270.0</v>
      </c>
      <c r="F23" s="24" t="s">
        <v>75</v>
      </c>
    </row>
    <row r="24">
      <c r="A24" s="24" t="s">
        <v>290</v>
      </c>
      <c r="B24" s="24" t="s">
        <v>291</v>
      </c>
      <c r="C24" s="24" t="s">
        <v>93</v>
      </c>
      <c r="D24" s="25"/>
      <c r="E24" s="25"/>
      <c r="F24" s="24" t="s">
        <v>75</v>
      </c>
    </row>
    <row r="25">
      <c r="A25" s="24" t="s">
        <v>292</v>
      </c>
      <c r="B25" s="24" t="s">
        <v>293</v>
      </c>
      <c r="C25" s="24" t="s">
        <v>93</v>
      </c>
      <c r="D25" s="25"/>
      <c r="E25" s="25"/>
      <c r="F25" s="24" t="s">
        <v>294</v>
      </c>
    </row>
    <row r="26">
      <c r="A26" s="24" t="s">
        <v>295</v>
      </c>
      <c r="B26" s="24" t="s">
        <v>296</v>
      </c>
      <c r="C26" s="24" t="s">
        <v>93</v>
      </c>
      <c r="D26" s="25"/>
      <c r="E26" s="25"/>
      <c r="F26" s="24" t="s">
        <v>75</v>
      </c>
    </row>
    <row r="27">
      <c r="A27" s="24" t="s">
        <v>297</v>
      </c>
      <c r="B27" s="24" t="s">
        <v>298</v>
      </c>
      <c r="C27" s="24" t="s">
        <v>93</v>
      </c>
      <c r="D27" s="25"/>
      <c r="E27" s="25"/>
      <c r="F27" s="24" t="s">
        <v>75</v>
      </c>
    </row>
    <row r="28">
      <c r="A28" s="24" t="s">
        <v>299</v>
      </c>
      <c r="B28" s="24" t="s">
        <v>300</v>
      </c>
      <c r="C28" s="24" t="s">
        <v>93</v>
      </c>
      <c r="D28" s="25"/>
      <c r="E28" s="25"/>
      <c r="F28" s="24" t="s">
        <v>75</v>
      </c>
    </row>
    <row r="29">
      <c r="A29" s="24" t="s">
        <v>301</v>
      </c>
      <c r="B29" s="24" t="s">
        <v>302</v>
      </c>
      <c r="C29" s="24" t="s">
        <v>93</v>
      </c>
      <c r="D29" s="25"/>
      <c r="E29" s="25"/>
      <c r="F29" s="24" t="s">
        <v>75</v>
      </c>
    </row>
    <row r="30">
      <c r="A30" s="24" t="s">
        <v>303</v>
      </c>
      <c r="B30" s="24" t="s">
        <v>304</v>
      </c>
      <c r="C30" s="24" t="s">
        <v>93</v>
      </c>
      <c r="D30" s="25"/>
      <c r="E30" s="25"/>
      <c r="F30" s="24" t="s">
        <v>75</v>
      </c>
    </row>
    <row r="31">
      <c r="A31" s="24" t="s">
        <v>305</v>
      </c>
      <c r="B31" s="24" t="s">
        <v>306</v>
      </c>
      <c r="C31" s="24" t="s">
        <v>97</v>
      </c>
      <c r="D31" s="25"/>
      <c r="E31" s="25"/>
      <c r="F31" s="24" t="s">
        <v>75</v>
      </c>
    </row>
    <row r="32">
      <c r="A32" s="24" t="s">
        <v>307</v>
      </c>
      <c r="B32" s="24" t="s">
        <v>308</v>
      </c>
      <c r="C32" s="24"/>
      <c r="D32" s="25"/>
      <c r="E32" s="25"/>
      <c r="F32" s="24" t="s">
        <v>75</v>
      </c>
    </row>
    <row r="33">
      <c r="A33" s="24" t="s">
        <v>309</v>
      </c>
      <c r="B33" s="24" t="s">
        <v>310</v>
      </c>
      <c r="C33" s="24" t="s">
        <v>97</v>
      </c>
      <c r="D33" s="25">
        <v>46273.0</v>
      </c>
      <c r="E33" s="25">
        <v>46276.0</v>
      </c>
      <c r="F33" s="24" t="s">
        <v>75</v>
      </c>
    </row>
    <row r="34">
      <c r="A34" s="24" t="s">
        <v>311</v>
      </c>
      <c r="B34" s="24" t="s">
        <v>312</v>
      </c>
      <c r="C34" s="24" t="s">
        <v>97</v>
      </c>
      <c r="D34" s="25">
        <v>46280.0</v>
      </c>
      <c r="E34" s="25">
        <v>46285.0</v>
      </c>
      <c r="F34" s="24" t="s">
        <v>75</v>
      </c>
    </row>
    <row r="35">
      <c r="A35" s="24" t="s">
        <v>313</v>
      </c>
      <c r="B35" s="24" t="s">
        <v>314</v>
      </c>
      <c r="C35" s="24" t="s">
        <v>97</v>
      </c>
      <c r="D35" s="25">
        <v>46280.0</v>
      </c>
      <c r="E35" s="25">
        <v>46290.0</v>
      </c>
      <c r="F35" s="24" t="s">
        <v>75</v>
      </c>
    </row>
    <row r="36">
      <c r="A36" s="24" t="s">
        <v>316</v>
      </c>
      <c r="B36" s="24" t="s">
        <v>317</v>
      </c>
      <c r="C36" s="24" t="s">
        <v>97</v>
      </c>
      <c r="D36" s="25">
        <v>46276.0</v>
      </c>
      <c r="E36" s="25">
        <v>46295.0</v>
      </c>
      <c r="F36" s="24" t="s">
        <v>75</v>
      </c>
    </row>
    <row r="37">
      <c r="A37" s="24" t="s">
        <v>318</v>
      </c>
      <c r="B37" s="24" t="s">
        <v>319</v>
      </c>
      <c r="C37" s="24" t="s">
        <v>97</v>
      </c>
      <c r="D37" s="25">
        <v>46296.0</v>
      </c>
      <c r="E37" s="25">
        <v>46303.0</v>
      </c>
      <c r="F37" s="24" t="s">
        <v>75</v>
      </c>
    </row>
    <row r="38">
      <c r="A38" s="24" t="s">
        <v>320</v>
      </c>
      <c r="B38" s="24" t="s">
        <v>321</v>
      </c>
      <c r="C38" s="24" t="s">
        <v>97</v>
      </c>
      <c r="D38" s="25">
        <v>46305.0</v>
      </c>
      <c r="E38" s="25">
        <v>46312.0</v>
      </c>
      <c r="F38" s="24" t="s">
        <v>75</v>
      </c>
    </row>
    <row r="39">
      <c r="A39" s="24" t="s">
        <v>322</v>
      </c>
      <c r="B39" s="24" t="s">
        <v>323</v>
      </c>
      <c r="C39" s="24" t="s">
        <v>97</v>
      </c>
      <c r="D39" s="25">
        <v>46391.0</v>
      </c>
      <c r="E39" s="25">
        <v>46402.0</v>
      </c>
      <c r="F39" s="24" t="s">
        <v>75</v>
      </c>
    </row>
    <row r="40">
      <c r="A40" s="24" t="s">
        <v>324</v>
      </c>
      <c r="B40" s="24" t="s">
        <v>325</v>
      </c>
      <c r="C40" s="24" t="s">
        <v>97</v>
      </c>
      <c r="D40" s="25">
        <v>46269.0</v>
      </c>
      <c r="E40" s="25">
        <v>46269.0</v>
      </c>
      <c r="F40" s="24" t="s">
        <v>75</v>
      </c>
    </row>
    <row r="41">
      <c r="A41" s="24" t="s">
        <v>326</v>
      </c>
      <c r="B41" s="24" t="s">
        <v>327</v>
      </c>
      <c r="C41" s="24" t="s">
        <v>97</v>
      </c>
      <c r="D41" s="25"/>
      <c r="E41" s="25"/>
      <c r="F41" s="24"/>
    </row>
    <row r="42">
      <c r="A42" s="24" t="s">
        <v>328</v>
      </c>
      <c r="B42" s="24" t="s">
        <v>329</v>
      </c>
      <c r="C42" s="24" t="s">
        <v>97</v>
      </c>
      <c r="D42" s="25"/>
      <c r="E42" s="25"/>
      <c r="F42" s="24"/>
    </row>
    <row r="43">
      <c r="A43" s="24" t="s">
        <v>330</v>
      </c>
      <c r="B43" s="24" t="s">
        <v>331</v>
      </c>
      <c r="C43" s="24" t="s">
        <v>97</v>
      </c>
      <c r="D43" s="25">
        <v>46260.0</v>
      </c>
      <c r="E43" s="25"/>
      <c r="F43" s="24" t="s">
        <v>80</v>
      </c>
    </row>
    <row r="44">
      <c r="A44" s="24" t="s">
        <v>332</v>
      </c>
      <c r="B44" s="24" t="s">
        <v>333</v>
      </c>
      <c r="C44" s="24" t="s">
        <v>97</v>
      </c>
      <c r="D44" s="25"/>
      <c r="E44" s="25"/>
      <c r="F44" s="24"/>
    </row>
    <row r="45">
      <c r="A45" s="24" t="s">
        <v>334</v>
      </c>
      <c r="B45" s="24" t="s">
        <v>335</v>
      </c>
      <c r="C45" s="24" t="s">
        <v>97</v>
      </c>
      <c r="D45" s="25">
        <v>46260.0</v>
      </c>
      <c r="E45" s="25">
        <v>46264.0</v>
      </c>
      <c r="F45" s="24" t="s">
        <v>80</v>
      </c>
    </row>
    <row r="46">
      <c r="A46" s="24" t="s">
        <v>336</v>
      </c>
      <c r="B46" s="24" t="s">
        <v>337</v>
      </c>
      <c r="C46" s="24" t="s">
        <v>97</v>
      </c>
      <c r="D46" s="25">
        <v>46264.0</v>
      </c>
      <c r="E46" s="25">
        <v>46275.0</v>
      </c>
      <c r="F46" s="24" t="s">
        <v>80</v>
      </c>
    </row>
    <row r="47">
      <c r="A47" s="24" t="s">
        <v>338</v>
      </c>
      <c r="B47" s="24" t="s">
        <v>339</v>
      </c>
      <c r="C47" s="24" t="s">
        <v>100</v>
      </c>
      <c r="D47" s="25"/>
      <c r="E47" s="25"/>
      <c r="F47" s="24"/>
    </row>
    <row r="48">
      <c r="A48" s="24" t="s">
        <v>340</v>
      </c>
      <c r="B48" s="24" t="s">
        <v>341</v>
      </c>
      <c r="C48" s="24" t="s">
        <v>100</v>
      </c>
      <c r="D48" s="25"/>
      <c r="E48" s="25">
        <v>46293.0</v>
      </c>
      <c r="F48" s="24" t="s">
        <v>80</v>
      </c>
    </row>
    <row r="49">
      <c r="A49" s="24" t="s">
        <v>342</v>
      </c>
      <c r="B49" s="24" t="s">
        <v>343</v>
      </c>
      <c r="C49" s="24" t="s">
        <v>100</v>
      </c>
      <c r="D49" s="25"/>
      <c r="E49" s="25">
        <v>46293.0</v>
      </c>
      <c r="F49" s="24" t="s">
        <v>75</v>
      </c>
    </row>
    <row r="50">
      <c r="A50" s="24" t="s">
        <v>344</v>
      </c>
      <c r="B50" s="24" t="s">
        <v>345</v>
      </c>
      <c r="C50" s="24" t="s">
        <v>100</v>
      </c>
      <c r="D50" s="25"/>
      <c r="E50" s="25">
        <v>46320.0</v>
      </c>
      <c r="F50" s="24" t="s">
        <v>75</v>
      </c>
    </row>
    <row r="51">
      <c r="A51" s="24" t="s">
        <v>346</v>
      </c>
      <c r="B51" s="24" t="s">
        <v>347</v>
      </c>
      <c r="C51" s="24" t="s">
        <v>100</v>
      </c>
      <c r="D51" s="25"/>
      <c r="E51" s="25">
        <v>46320.0</v>
      </c>
      <c r="F51" s="24" t="s">
        <v>75</v>
      </c>
    </row>
    <row r="52">
      <c r="A52" s="24" t="s">
        <v>348</v>
      </c>
      <c r="B52" s="24" t="s">
        <v>350</v>
      </c>
      <c r="C52" s="24" t="s">
        <v>100</v>
      </c>
      <c r="D52" s="25"/>
      <c r="E52" s="25">
        <v>46320.0</v>
      </c>
      <c r="F52" s="24" t="s">
        <v>75</v>
      </c>
    </row>
    <row r="53">
      <c r="A53" s="24" t="s">
        <v>351</v>
      </c>
      <c r="B53" s="24" t="s">
        <v>352</v>
      </c>
      <c r="C53" s="24" t="s">
        <v>100</v>
      </c>
      <c r="D53" s="25"/>
      <c r="E53" s="25">
        <v>46351.0</v>
      </c>
      <c r="F53" s="24" t="s">
        <v>75</v>
      </c>
    </row>
    <row r="54">
      <c r="A54" s="24" t="s">
        <v>353</v>
      </c>
      <c r="B54" s="24" t="s">
        <v>354</v>
      </c>
      <c r="C54" s="24" t="s">
        <v>100</v>
      </c>
      <c r="D54" s="25"/>
      <c r="E54" s="25">
        <v>46320.0</v>
      </c>
      <c r="F54" s="24" t="s">
        <v>75</v>
      </c>
    </row>
    <row r="55">
      <c r="A55" s="24" t="s">
        <v>355</v>
      </c>
      <c r="B55" s="24" t="s">
        <v>356</v>
      </c>
      <c r="C55" s="24" t="s">
        <v>100</v>
      </c>
      <c r="D55" s="25"/>
      <c r="E55" s="25">
        <v>46293.0</v>
      </c>
      <c r="F55" s="24" t="s">
        <v>75</v>
      </c>
    </row>
    <row r="56">
      <c r="A56" s="24" t="s">
        <v>357</v>
      </c>
      <c r="B56" s="24" t="s">
        <v>358</v>
      </c>
      <c r="C56" s="24" t="s">
        <v>100</v>
      </c>
      <c r="D56" s="25"/>
      <c r="E56" s="25">
        <v>46299.0</v>
      </c>
      <c r="F56" s="24" t="s">
        <v>75</v>
      </c>
    </row>
    <row r="57">
      <c r="A57" s="24" t="s">
        <v>359</v>
      </c>
      <c r="B57" s="24" t="s">
        <v>360</v>
      </c>
      <c r="C57" s="24" t="s">
        <v>100</v>
      </c>
      <c r="D57" s="25"/>
      <c r="E57" s="25">
        <v>46293.0</v>
      </c>
      <c r="F57" s="24" t="s">
        <v>75</v>
      </c>
    </row>
    <row r="58">
      <c r="A58" s="24" t="s">
        <v>361</v>
      </c>
      <c r="B58" s="24" t="s">
        <v>362</v>
      </c>
      <c r="C58" s="24" t="s">
        <v>100</v>
      </c>
      <c r="D58" s="25"/>
      <c r="E58" s="25">
        <v>46293.0</v>
      </c>
      <c r="F58" s="24" t="s">
        <v>75</v>
      </c>
    </row>
    <row r="59">
      <c r="A59" s="24" t="s">
        <v>363</v>
      </c>
      <c r="B59" s="24" t="s">
        <v>364</v>
      </c>
      <c r="C59" s="24" t="s">
        <v>100</v>
      </c>
      <c r="D59" s="25"/>
      <c r="E59" s="25">
        <v>46293.0</v>
      </c>
      <c r="F59" s="24" t="s">
        <v>75</v>
      </c>
    </row>
    <row r="60">
      <c r="A60" s="24" t="s">
        <v>365</v>
      </c>
      <c r="B60" s="24" t="s">
        <v>366</v>
      </c>
      <c r="C60" s="24" t="s">
        <v>100</v>
      </c>
      <c r="D60" s="25"/>
      <c r="E60" s="25">
        <v>46320.0</v>
      </c>
      <c r="F60" s="24" t="s">
        <v>75</v>
      </c>
    </row>
    <row r="61">
      <c r="A61" s="24" t="s">
        <v>367</v>
      </c>
      <c r="B61" s="24" t="s">
        <v>368</v>
      </c>
      <c r="C61" s="24" t="s">
        <v>100</v>
      </c>
      <c r="D61" s="25"/>
      <c r="E61" s="25">
        <v>46351.0</v>
      </c>
      <c r="F61" s="24" t="s">
        <v>75</v>
      </c>
    </row>
    <row r="62">
      <c r="A62" s="24" t="s">
        <v>369</v>
      </c>
      <c r="B62" s="24" t="s">
        <v>370</v>
      </c>
      <c r="C62" s="24" t="s">
        <v>100</v>
      </c>
      <c r="D62" s="25"/>
      <c r="E62" s="25">
        <v>46351.0</v>
      </c>
      <c r="F62" s="24" t="s">
        <v>75</v>
      </c>
    </row>
    <row r="63">
      <c r="A63" s="24" t="s">
        <v>371</v>
      </c>
      <c r="B63" s="24" t="s">
        <v>372</v>
      </c>
      <c r="C63" s="24" t="s">
        <v>100</v>
      </c>
      <c r="D63" s="25"/>
      <c r="E63" s="25">
        <v>46401.0</v>
      </c>
      <c r="F63" s="24" t="s">
        <v>75</v>
      </c>
    </row>
    <row r="64">
      <c r="A64" s="24" t="s">
        <v>373</v>
      </c>
      <c r="B64" s="24" t="s">
        <v>375</v>
      </c>
      <c r="C64" s="24" t="s">
        <v>100</v>
      </c>
      <c r="D64" s="25"/>
      <c r="E64" s="25">
        <v>46401.0</v>
      </c>
      <c r="F64" s="24" t="s">
        <v>75</v>
      </c>
    </row>
    <row r="65">
      <c r="A65" s="24" t="s">
        <v>376</v>
      </c>
      <c r="B65" s="24" t="s">
        <v>377</v>
      </c>
      <c r="C65" s="24" t="s">
        <v>100</v>
      </c>
      <c r="D65" s="25"/>
      <c r="E65" s="25">
        <v>46293.0</v>
      </c>
      <c r="F65" s="24" t="s">
        <v>75</v>
      </c>
    </row>
    <row r="66">
      <c r="A66" s="24" t="s">
        <v>378</v>
      </c>
      <c r="B66" s="24" t="s">
        <v>379</v>
      </c>
      <c r="C66" s="24" t="s">
        <v>100</v>
      </c>
      <c r="D66" s="25"/>
      <c r="E66" s="25">
        <v>46293.0</v>
      </c>
      <c r="F66" s="24"/>
    </row>
    <row r="67">
      <c r="A67" s="24" t="s">
        <v>380</v>
      </c>
      <c r="B67" s="24" t="s">
        <v>381</v>
      </c>
      <c r="C67" s="24"/>
      <c r="D67" s="25"/>
      <c r="E67" s="25">
        <v>46280.0</v>
      </c>
      <c r="F67" s="24" t="s">
        <v>80</v>
      </c>
    </row>
    <row r="68">
      <c r="A68" s="24" t="s">
        <v>382</v>
      </c>
      <c r="B68" s="24" t="s">
        <v>383</v>
      </c>
      <c r="C68" s="24"/>
      <c r="D68" s="25"/>
      <c r="E68" s="25">
        <v>46291.0</v>
      </c>
      <c r="F68" s="24" t="s">
        <v>85</v>
      </c>
    </row>
    <row r="69">
      <c r="A69" s="24" t="s">
        <v>384</v>
      </c>
      <c r="B69" s="24" t="s">
        <v>385</v>
      </c>
      <c r="C69" s="24"/>
      <c r="D69" s="25"/>
      <c r="E69" s="25">
        <v>46298.0</v>
      </c>
      <c r="F69" s="24" t="s">
        <v>75</v>
      </c>
    </row>
    <row r="70">
      <c r="A70" s="24" t="s">
        <v>386</v>
      </c>
      <c r="B70" s="24" t="s">
        <v>387</v>
      </c>
      <c r="C70" s="24" t="s">
        <v>100</v>
      </c>
      <c r="D70" s="25">
        <v>46300.0</v>
      </c>
      <c r="E70" s="25">
        <v>46326.0</v>
      </c>
      <c r="F70" s="24" t="s">
        <v>75</v>
      </c>
    </row>
    <row r="71">
      <c r="A71" s="24" t="s">
        <v>388</v>
      </c>
      <c r="B71" s="24" t="s">
        <v>389</v>
      </c>
      <c r="C71" s="24" t="s">
        <v>100</v>
      </c>
      <c r="D71" s="25"/>
      <c r="E71" s="25">
        <v>46293.0</v>
      </c>
      <c r="F71" s="24" t="s">
        <v>75</v>
      </c>
    </row>
    <row r="72">
      <c r="A72" s="24" t="s">
        <v>390</v>
      </c>
      <c r="B72" s="24" t="s">
        <v>391</v>
      </c>
      <c r="C72" s="24" t="s">
        <v>100</v>
      </c>
      <c r="D72" s="25"/>
      <c r="E72" s="25">
        <v>46320.0</v>
      </c>
      <c r="F72" s="24" t="s">
        <v>75</v>
      </c>
    </row>
    <row r="73">
      <c r="A73" s="24" t="s">
        <v>392</v>
      </c>
      <c r="B73" s="24" t="s">
        <v>393</v>
      </c>
      <c r="C73" s="24" t="s">
        <v>100</v>
      </c>
      <c r="D73" s="25"/>
      <c r="E73" s="25">
        <v>46351.0</v>
      </c>
      <c r="F73" s="24" t="s">
        <v>75</v>
      </c>
    </row>
    <row r="74">
      <c r="A74" s="24" t="s">
        <v>394</v>
      </c>
      <c r="B74" s="24" t="s">
        <v>395</v>
      </c>
      <c r="C74" s="24" t="s">
        <v>100</v>
      </c>
      <c r="D74" s="25"/>
      <c r="E74" s="25">
        <v>46401.0</v>
      </c>
      <c r="F74" s="24" t="s">
        <v>75</v>
      </c>
    </row>
    <row r="75">
      <c r="A75" s="24" t="s">
        <v>396</v>
      </c>
      <c r="B75" s="24" t="s">
        <v>397</v>
      </c>
      <c r="C75" s="24" t="s">
        <v>100</v>
      </c>
      <c r="D75" s="25"/>
      <c r="E75" s="25">
        <v>46401.0</v>
      </c>
      <c r="F75" s="24" t="s">
        <v>75</v>
      </c>
    </row>
    <row r="76">
      <c r="A76" s="24" t="s">
        <v>398</v>
      </c>
      <c r="B76" s="24" t="s">
        <v>399</v>
      </c>
      <c r="C76" s="24" t="s">
        <v>100</v>
      </c>
      <c r="D76" s="25"/>
      <c r="E76" s="25">
        <v>46293.0</v>
      </c>
      <c r="F76" s="24" t="s">
        <v>75</v>
      </c>
    </row>
    <row r="77">
      <c r="A77" s="24" t="s">
        <v>400</v>
      </c>
      <c r="B77" s="24"/>
      <c r="C77" s="24" t="s">
        <v>100</v>
      </c>
      <c r="D77" s="25"/>
      <c r="E77" s="25"/>
      <c r="F77" s="24"/>
    </row>
    <row r="78">
      <c r="A78" s="24" t="s">
        <v>401</v>
      </c>
      <c r="B78" s="24" t="s">
        <v>402</v>
      </c>
      <c r="C78" s="24" t="s">
        <v>100</v>
      </c>
      <c r="D78" s="25"/>
      <c r="E78" s="25"/>
      <c r="F78" s="24"/>
    </row>
    <row r="79">
      <c r="A79" s="24" t="s">
        <v>403</v>
      </c>
      <c r="B79" s="24" t="s">
        <v>405</v>
      </c>
      <c r="C79" s="24" t="s">
        <v>103</v>
      </c>
      <c r="D79" s="25"/>
      <c r="E79" s="25">
        <v>46274.0</v>
      </c>
      <c r="F79" s="24" t="s">
        <v>75</v>
      </c>
    </row>
    <row r="80">
      <c r="A80" s="24" t="s">
        <v>406</v>
      </c>
      <c r="B80" s="24" t="s">
        <v>407</v>
      </c>
      <c r="C80" s="24" t="s">
        <v>103</v>
      </c>
      <c r="D80" s="25"/>
      <c r="E80" s="25"/>
      <c r="F80" s="24" t="s">
        <v>75</v>
      </c>
    </row>
    <row r="81">
      <c r="A81" s="24" t="s">
        <v>408</v>
      </c>
      <c r="B81" s="24" t="s">
        <v>409</v>
      </c>
      <c r="C81" s="24" t="s">
        <v>103</v>
      </c>
      <c r="D81" s="25"/>
      <c r="E81" s="25"/>
      <c r="F81" s="24" t="s">
        <v>75</v>
      </c>
    </row>
    <row r="82">
      <c r="A82" s="24" t="s">
        <v>410</v>
      </c>
      <c r="B82" s="24" t="s">
        <v>411</v>
      </c>
      <c r="C82" s="24" t="s">
        <v>103</v>
      </c>
      <c r="D82" s="25"/>
      <c r="E82" s="25"/>
      <c r="F82" s="24" t="s">
        <v>75</v>
      </c>
    </row>
    <row r="83">
      <c r="A83" s="24" t="s">
        <v>412</v>
      </c>
      <c r="B83" s="24"/>
      <c r="C83" s="24" t="s">
        <v>103</v>
      </c>
      <c r="D83" s="25"/>
      <c r="E83" s="25"/>
      <c r="F83" s="24"/>
    </row>
    <row r="84">
      <c r="A84" s="24" t="s">
        <v>413</v>
      </c>
      <c r="B84" s="24" t="s">
        <v>414</v>
      </c>
      <c r="C84" s="24" t="s">
        <v>103</v>
      </c>
      <c r="D84" s="25"/>
      <c r="E84" s="25"/>
      <c r="F84" s="24" t="s">
        <v>75</v>
      </c>
    </row>
    <row r="85">
      <c r="A85" s="24" t="s">
        <v>415</v>
      </c>
      <c r="B85" s="24" t="s">
        <v>416</v>
      </c>
      <c r="C85" s="24" t="s">
        <v>103</v>
      </c>
      <c r="D85" s="25"/>
      <c r="E85" s="25"/>
      <c r="F85" s="24" t="s">
        <v>75</v>
      </c>
    </row>
    <row r="86">
      <c r="A86" s="24" t="s">
        <v>417</v>
      </c>
      <c r="B86" s="24" t="s">
        <v>418</v>
      </c>
      <c r="C86" s="24" t="s">
        <v>103</v>
      </c>
      <c r="D86" s="25"/>
      <c r="E86" s="25">
        <v>46229.0</v>
      </c>
      <c r="F86" s="24" t="s">
        <v>95</v>
      </c>
    </row>
    <row r="87">
      <c r="A87" s="24" t="s">
        <v>419</v>
      </c>
      <c r="B87" s="24" t="s">
        <v>420</v>
      </c>
      <c r="C87" s="24" t="s">
        <v>103</v>
      </c>
      <c r="D87" s="25"/>
      <c r="E87" s="25">
        <v>46327.0</v>
      </c>
      <c r="F87" s="24" t="s">
        <v>75</v>
      </c>
    </row>
    <row r="88">
      <c r="A88" s="24" t="s">
        <v>421</v>
      </c>
      <c r="B88" s="24" t="s">
        <v>422</v>
      </c>
      <c r="C88" s="24" t="s">
        <v>103</v>
      </c>
      <c r="D88" s="25"/>
      <c r="E88" s="25"/>
      <c r="F88" s="24" t="s">
        <v>95</v>
      </c>
    </row>
    <row r="89">
      <c r="A89" s="24" t="s">
        <v>423</v>
      </c>
      <c r="B89" s="24" t="s">
        <v>424</v>
      </c>
      <c r="C89" s="24" t="s">
        <v>103</v>
      </c>
      <c r="D89" s="25"/>
      <c r="E89" s="25"/>
      <c r="F89" s="24" t="s">
        <v>95</v>
      </c>
    </row>
    <row r="90">
      <c r="A90" s="24" t="s">
        <v>425</v>
      </c>
      <c r="B90" s="24" t="s">
        <v>426</v>
      </c>
      <c r="C90" s="24" t="s">
        <v>103</v>
      </c>
      <c r="D90" s="25"/>
      <c r="E90" s="25">
        <v>46265.0</v>
      </c>
      <c r="F90" s="24" t="s">
        <v>95</v>
      </c>
    </row>
    <row r="91">
      <c r="A91" s="24" t="s">
        <v>427</v>
      </c>
      <c r="B91" s="24" t="s">
        <v>428</v>
      </c>
      <c r="C91" s="24" t="s">
        <v>103</v>
      </c>
      <c r="D91" s="25"/>
      <c r="E91" s="25">
        <v>46262.0</v>
      </c>
      <c r="F91" s="24" t="s">
        <v>95</v>
      </c>
    </row>
    <row r="92">
      <c r="A92" s="24" t="s">
        <v>429</v>
      </c>
      <c r="B92" s="24" t="s">
        <v>430</v>
      </c>
      <c r="C92" s="24" t="s">
        <v>103</v>
      </c>
      <c r="D92" s="25"/>
      <c r="E92" s="25">
        <v>46283.0</v>
      </c>
      <c r="F92" s="24" t="s">
        <v>75</v>
      </c>
    </row>
    <row r="93">
      <c r="A93" s="24" t="s">
        <v>432</v>
      </c>
      <c r="B93" s="24" t="s">
        <v>433</v>
      </c>
      <c r="C93" s="24" t="s">
        <v>103</v>
      </c>
      <c r="D93" s="25"/>
      <c r="E93" s="25">
        <v>46304.0</v>
      </c>
      <c r="F93" s="24" t="s">
        <v>75</v>
      </c>
    </row>
    <row r="94">
      <c r="A94" s="24" t="s">
        <v>434</v>
      </c>
      <c r="B94" s="24" t="s">
        <v>435</v>
      </c>
      <c r="C94" s="24" t="s">
        <v>103</v>
      </c>
      <c r="D94" s="25"/>
      <c r="E94" s="25">
        <v>46272.0</v>
      </c>
      <c r="F94" s="24" t="s">
        <v>75</v>
      </c>
    </row>
    <row r="95">
      <c r="A95" s="24" t="s">
        <v>436</v>
      </c>
      <c r="B95" s="24" t="s">
        <v>437</v>
      </c>
      <c r="C95" s="24" t="s">
        <v>103</v>
      </c>
      <c r="D95" s="25"/>
      <c r="E95" s="25">
        <v>46272.0</v>
      </c>
      <c r="F95" s="24" t="s">
        <v>80</v>
      </c>
    </row>
    <row r="96">
      <c r="A96" s="24" t="s">
        <v>438</v>
      </c>
      <c r="B96" s="24" t="s">
        <v>439</v>
      </c>
      <c r="C96" s="24" t="s">
        <v>103</v>
      </c>
      <c r="D96" s="25"/>
      <c r="E96" s="25">
        <v>46274.0</v>
      </c>
      <c r="F96" s="24" t="s">
        <v>75</v>
      </c>
    </row>
    <row r="97">
      <c r="A97" s="24" t="s">
        <v>440</v>
      </c>
      <c r="B97" s="24" t="s">
        <v>441</v>
      </c>
      <c r="C97" s="24" t="s">
        <v>103</v>
      </c>
      <c r="D97" s="25"/>
      <c r="E97" s="25">
        <v>46274.0</v>
      </c>
      <c r="F97" s="24" t="s">
        <v>75</v>
      </c>
    </row>
    <row r="98">
      <c r="A98" s="24" t="s">
        <v>442</v>
      </c>
      <c r="B98" s="24" t="s">
        <v>443</v>
      </c>
      <c r="C98" s="24" t="s">
        <v>103</v>
      </c>
      <c r="D98" s="25"/>
      <c r="E98" s="25">
        <v>46281.0</v>
      </c>
      <c r="F98" s="24" t="s">
        <v>75</v>
      </c>
    </row>
    <row r="99">
      <c r="A99" s="24" t="s">
        <v>444</v>
      </c>
      <c r="B99" s="24" t="s">
        <v>445</v>
      </c>
      <c r="C99" s="24" t="s">
        <v>103</v>
      </c>
      <c r="D99" s="25"/>
      <c r="E99" s="25">
        <v>46295.0</v>
      </c>
      <c r="F99" s="24" t="s">
        <v>75</v>
      </c>
    </row>
    <row r="100">
      <c r="A100" s="24" t="s">
        <v>446</v>
      </c>
      <c r="B100" s="24" t="s">
        <v>447</v>
      </c>
      <c r="C100" s="24" t="s">
        <v>103</v>
      </c>
      <c r="D100" s="25"/>
      <c r="E100" s="25">
        <v>46305.0</v>
      </c>
      <c r="F100" s="24" t="s">
        <v>75</v>
      </c>
    </row>
    <row r="101">
      <c r="A101" s="24" t="s">
        <v>448</v>
      </c>
      <c r="B101" s="24" t="s">
        <v>449</v>
      </c>
      <c r="C101" s="24" t="s">
        <v>103</v>
      </c>
      <c r="D101" s="25"/>
      <c r="E101" s="25">
        <v>46310.0</v>
      </c>
      <c r="F101" s="24" t="s">
        <v>75</v>
      </c>
    </row>
    <row r="102">
      <c r="A102" s="24" t="s">
        <v>450</v>
      </c>
      <c r="B102" s="24" t="s">
        <v>451</v>
      </c>
      <c r="C102" s="24" t="s">
        <v>103</v>
      </c>
      <c r="D102" s="25"/>
      <c r="E102" s="25">
        <v>46407.0</v>
      </c>
      <c r="F102" s="24" t="s">
        <v>75</v>
      </c>
    </row>
    <row r="103">
      <c r="A103" s="24" t="s">
        <v>452</v>
      </c>
      <c r="B103" s="24" t="s">
        <v>453</v>
      </c>
      <c r="C103" s="24" t="s">
        <v>106</v>
      </c>
      <c r="D103" s="25">
        <v>46388.0</v>
      </c>
      <c r="E103" s="25">
        <v>46447.0</v>
      </c>
      <c r="F103" s="24" t="s">
        <v>75</v>
      </c>
    </row>
    <row r="104">
      <c r="A104" s="24" t="s">
        <v>454</v>
      </c>
      <c r="B104" s="24" t="s">
        <v>455</v>
      </c>
      <c r="C104" s="24" t="s">
        <v>106</v>
      </c>
      <c r="D104" s="25"/>
      <c r="E104" s="25"/>
      <c r="F104" s="24"/>
    </row>
    <row r="105">
      <c r="A105" s="24" t="s">
        <v>456</v>
      </c>
      <c r="B105" s="24" t="s">
        <v>457</v>
      </c>
      <c r="C105" s="24" t="s">
        <v>106</v>
      </c>
      <c r="D105" s="25">
        <v>46235.0</v>
      </c>
      <c r="E105" s="25">
        <v>46244.0</v>
      </c>
      <c r="F105" s="24" t="s">
        <v>80</v>
      </c>
    </row>
    <row r="106">
      <c r="A106" s="24" t="s">
        <v>459</v>
      </c>
      <c r="B106" s="24" t="s">
        <v>460</v>
      </c>
      <c r="C106" s="24" t="s">
        <v>106</v>
      </c>
      <c r="D106" s="25">
        <v>46293.0</v>
      </c>
      <c r="E106" s="25">
        <v>46298.0</v>
      </c>
      <c r="F106" s="24" t="s">
        <v>75</v>
      </c>
    </row>
    <row r="107">
      <c r="A107" s="24" t="s">
        <v>461</v>
      </c>
      <c r="B107" s="24" t="s">
        <v>462</v>
      </c>
      <c r="C107" s="24" t="s">
        <v>106</v>
      </c>
      <c r="D107" s="25">
        <v>46258.0</v>
      </c>
      <c r="E107" s="25">
        <v>46262.0</v>
      </c>
      <c r="F107" s="24" t="s">
        <v>95</v>
      </c>
    </row>
    <row r="108">
      <c r="A108" s="24" t="s">
        <v>463</v>
      </c>
      <c r="B108" s="24" t="s">
        <v>464</v>
      </c>
      <c r="C108" s="24" t="s">
        <v>106</v>
      </c>
      <c r="D108" s="25">
        <v>46235.0</v>
      </c>
      <c r="E108" s="25">
        <v>46293.0</v>
      </c>
      <c r="F108" s="24" t="s">
        <v>75</v>
      </c>
    </row>
    <row r="109">
      <c r="A109" s="24" t="s">
        <v>465</v>
      </c>
      <c r="B109" s="24" t="s">
        <v>466</v>
      </c>
      <c r="C109" s="24" t="s">
        <v>106</v>
      </c>
      <c r="D109" s="25">
        <v>46327.0</v>
      </c>
      <c r="E109" s="25">
        <v>46356.0</v>
      </c>
      <c r="F109" s="24" t="s">
        <v>75</v>
      </c>
    </row>
    <row r="110">
      <c r="A110" s="24" t="s">
        <v>467</v>
      </c>
      <c r="B110" s="24" t="s">
        <v>468</v>
      </c>
      <c r="C110" s="24" t="s">
        <v>106</v>
      </c>
      <c r="D110" s="25">
        <v>46388.0</v>
      </c>
      <c r="E110" s="25">
        <v>46508.0</v>
      </c>
      <c r="F110" s="24" t="s">
        <v>75</v>
      </c>
    </row>
    <row r="111">
      <c r="A111" s="24" t="s">
        <v>469</v>
      </c>
      <c r="B111" s="24" t="s">
        <v>470</v>
      </c>
      <c r="C111" s="24" t="s">
        <v>106</v>
      </c>
      <c r="D111" s="25">
        <v>46265.0</v>
      </c>
      <c r="E111" s="25">
        <v>46269.0</v>
      </c>
      <c r="F111" s="24" t="s">
        <v>80</v>
      </c>
    </row>
    <row r="112">
      <c r="A112" s="24" t="s">
        <v>471</v>
      </c>
      <c r="B112" s="24" t="s">
        <v>472</v>
      </c>
      <c r="C112" s="24" t="s">
        <v>106</v>
      </c>
      <c r="D112" s="25">
        <v>46293.0</v>
      </c>
      <c r="E112" s="25">
        <v>46294.0</v>
      </c>
      <c r="F112" s="24" t="s">
        <v>75</v>
      </c>
    </row>
    <row r="113">
      <c r="A113" s="24" t="s">
        <v>473</v>
      </c>
      <c r="B113" s="24" t="s">
        <v>474</v>
      </c>
      <c r="C113" s="24" t="s">
        <v>106</v>
      </c>
      <c r="D113" s="25">
        <v>46327.0</v>
      </c>
      <c r="E113" s="25">
        <v>46340.0</v>
      </c>
      <c r="F113" s="24" t="s">
        <v>75</v>
      </c>
    </row>
    <row r="114">
      <c r="A114" s="24" t="s">
        <v>475</v>
      </c>
      <c r="B114" s="24" t="s">
        <v>476</v>
      </c>
      <c r="C114" s="24" t="s">
        <v>106</v>
      </c>
      <c r="D114" s="25">
        <v>46388.0</v>
      </c>
      <c r="E114" s="25">
        <v>46419.0</v>
      </c>
      <c r="F114" s="24" t="s">
        <v>75</v>
      </c>
    </row>
    <row r="115">
      <c r="A115" s="24" t="s">
        <v>478</v>
      </c>
      <c r="B115" s="24" t="s">
        <v>472</v>
      </c>
      <c r="C115" s="24" t="s">
        <v>106</v>
      </c>
      <c r="D115" s="25">
        <v>46293.0</v>
      </c>
      <c r="E115" s="25">
        <v>46294.0</v>
      </c>
      <c r="F115" s="24" t="s">
        <v>75</v>
      </c>
    </row>
    <row r="116">
      <c r="A116" s="24" t="s">
        <v>480</v>
      </c>
      <c r="B116" s="24" t="s">
        <v>474</v>
      </c>
      <c r="C116" s="24" t="s">
        <v>106</v>
      </c>
      <c r="D116" s="25">
        <v>46327.0</v>
      </c>
      <c r="E116" s="25">
        <v>46340.0</v>
      </c>
      <c r="F116" s="24" t="s">
        <v>75</v>
      </c>
    </row>
    <row r="117">
      <c r="A117" s="24" t="s">
        <v>481</v>
      </c>
      <c r="B117" s="24" t="s">
        <v>476</v>
      </c>
      <c r="C117" s="24" t="s">
        <v>106</v>
      </c>
      <c r="D117" s="25">
        <v>46388.0</v>
      </c>
      <c r="E117" s="25">
        <v>46419.0</v>
      </c>
      <c r="F117" s="24" t="s">
        <v>75</v>
      </c>
    </row>
    <row r="118">
      <c r="A118" s="24" t="s">
        <v>482</v>
      </c>
      <c r="B118" s="24" t="s">
        <v>474</v>
      </c>
      <c r="C118" s="24" t="s">
        <v>106</v>
      </c>
      <c r="D118" s="25">
        <v>46327.0</v>
      </c>
      <c r="E118" s="25">
        <v>46340.0</v>
      </c>
      <c r="F118" s="24" t="s">
        <v>75</v>
      </c>
    </row>
    <row r="119">
      <c r="A119" s="24" t="s">
        <v>483</v>
      </c>
      <c r="B119" s="24" t="s">
        <v>476</v>
      </c>
      <c r="C119" s="24" t="s">
        <v>106</v>
      </c>
      <c r="D119" s="25">
        <v>46388.0</v>
      </c>
      <c r="E119" s="25">
        <v>46419.0</v>
      </c>
      <c r="F119" s="24" t="s">
        <v>75</v>
      </c>
    </row>
    <row r="120">
      <c r="A120" s="24" t="s">
        <v>484</v>
      </c>
      <c r="B120" s="24" t="s">
        <v>485</v>
      </c>
      <c r="C120" s="24" t="s">
        <v>106</v>
      </c>
      <c r="D120" s="25">
        <v>46311.0</v>
      </c>
      <c r="E120" s="25">
        <v>46319.0</v>
      </c>
      <c r="F120" s="24" t="s">
        <v>75</v>
      </c>
    </row>
    <row r="121">
      <c r="A121" s="24" t="s">
        <v>486</v>
      </c>
      <c r="B121" s="24" t="s">
        <v>487</v>
      </c>
      <c r="C121" s="24" t="s">
        <v>106</v>
      </c>
      <c r="D121" s="25">
        <v>46319.0</v>
      </c>
      <c r="E121" s="25">
        <v>46447.0</v>
      </c>
      <c r="F121" s="24" t="s">
        <v>75</v>
      </c>
    </row>
    <row r="122">
      <c r="A122" s="24" t="s">
        <v>488</v>
      </c>
      <c r="B122" s="24" t="s">
        <v>485</v>
      </c>
      <c r="C122" s="24" t="s">
        <v>106</v>
      </c>
      <c r="D122" s="25">
        <v>46311.0</v>
      </c>
      <c r="E122" s="25">
        <v>46319.0</v>
      </c>
      <c r="F122" s="24" t="s">
        <v>75</v>
      </c>
    </row>
    <row r="123">
      <c r="A123" s="24" t="s">
        <v>489</v>
      </c>
      <c r="B123" s="24" t="s">
        <v>487</v>
      </c>
      <c r="C123" s="24" t="s">
        <v>106</v>
      </c>
      <c r="D123" s="25">
        <v>46319.0</v>
      </c>
      <c r="E123" s="25">
        <v>46447.0</v>
      </c>
      <c r="F123" s="24" t="s">
        <v>75</v>
      </c>
    </row>
    <row r="124">
      <c r="A124" s="24" t="s">
        <v>490</v>
      </c>
      <c r="B124" s="24" t="s">
        <v>491</v>
      </c>
      <c r="C124" s="24" t="s">
        <v>106</v>
      </c>
      <c r="D124" s="25">
        <v>46258.0</v>
      </c>
      <c r="E124" s="25">
        <v>46289.0</v>
      </c>
      <c r="F124" s="24" t="s">
        <v>75</v>
      </c>
    </row>
    <row r="125">
      <c r="A125" s="24" t="s">
        <v>492</v>
      </c>
      <c r="B125" s="24" t="s">
        <v>493</v>
      </c>
      <c r="C125" s="24" t="s">
        <v>109</v>
      </c>
      <c r="D125" s="25">
        <v>46272.0</v>
      </c>
      <c r="E125" s="25">
        <v>46295.0</v>
      </c>
      <c r="F125" s="24" t="s">
        <v>75</v>
      </c>
    </row>
    <row r="126">
      <c r="A126" s="24" t="s">
        <v>494</v>
      </c>
      <c r="B126" s="24" t="s">
        <v>495</v>
      </c>
      <c r="C126" s="24" t="s">
        <v>109</v>
      </c>
      <c r="D126" s="25">
        <v>46266.0</v>
      </c>
      <c r="E126" s="25">
        <v>46277.0</v>
      </c>
      <c r="F126" s="24" t="s">
        <v>75</v>
      </c>
    </row>
    <row r="127">
      <c r="A127" s="24" t="s">
        <v>497</v>
      </c>
      <c r="B127" s="24" t="s">
        <v>498</v>
      </c>
      <c r="C127" s="24" t="s">
        <v>109</v>
      </c>
      <c r="D127" s="25">
        <v>46265.0</v>
      </c>
      <c r="E127" s="25">
        <v>46265.0</v>
      </c>
      <c r="F127" s="24" t="s">
        <v>294</v>
      </c>
    </row>
    <row r="128">
      <c r="A128" s="24" t="s">
        <v>499</v>
      </c>
      <c r="B128" s="24" t="s">
        <v>500</v>
      </c>
      <c r="C128" s="24" t="s">
        <v>109</v>
      </c>
      <c r="D128" s="25">
        <v>46265.0</v>
      </c>
      <c r="E128" s="25">
        <v>46267.0</v>
      </c>
      <c r="F128" s="24" t="s">
        <v>75</v>
      </c>
    </row>
    <row r="129">
      <c r="A129" s="24" t="s">
        <v>501</v>
      </c>
      <c r="B129" s="24" t="s">
        <v>502</v>
      </c>
      <c r="C129" s="24" t="s">
        <v>109</v>
      </c>
      <c r="D129" s="25">
        <v>46266.0</v>
      </c>
      <c r="E129" s="25">
        <v>46295.0</v>
      </c>
      <c r="F129" s="24" t="s">
        <v>75</v>
      </c>
    </row>
    <row r="130">
      <c r="A130" s="24" t="s">
        <v>503</v>
      </c>
      <c r="B130" s="24" t="s">
        <v>504</v>
      </c>
      <c r="C130" s="24" t="s">
        <v>109</v>
      </c>
      <c r="D130" s="25">
        <v>46401.0</v>
      </c>
      <c r="E130" s="25">
        <v>46403.0</v>
      </c>
      <c r="F130" s="24" t="s">
        <v>75</v>
      </c>
    </row>
    <row r="131">
      <c r="A131" s="24" t="s">
        <v>505</v>
      </c>
      <c r="B131" s="24" t="s">
        <v>506</v>
      </c>
      <c r="C131" s="24" t="s">
        <v>109</v>
      </c>
      <c r="D131" s="25">
        <v>46266.0</v>
      </c>
      <c r="E131" s="25">
        <v>46277.0</v>
      </c>
      <c r="F131" s="24" t="s">
        <v>75</v>
      </c>
    </row>
    <row r="132">
      <c r="A132" s="24" t="s">
        <v>507</v>
      </c>
      <c r="B132" s="24" t="s">
        <v>508</v>
      </c>
      <c r="C132" s="24" t="s">
        <v>109</v>
      </c>
      <c r="D132" s="25">
        <v>46402.0</v>
      </c>
      <c r="E132" s="25">
        <v>46404.0</v>
      </c>
      <c r="F132" s="24" t="s">
        <v>75</v>
      </c>
    </row>
    <row r="133">
      <c r="A133" s="24" t="s">
        <v>509</v>
      </c>
      <c r="B133" s="24" t="s">
        <v>510</v>
      </c>
      <c r="C133" s="24" t="s">
        <v>109</v>
      </c>
      <c r="D133" s="25"/>
      <c r="E133" s="25"/>
      <c r="F133" s="24"/>
    </row>
    <row r="134">
      <c r="A134" s="24" t="s">
        <v>511</v>
      </c>
      <c r="B134" s="24" t="s">
        <v>513</v>
      </c>
      <c r="C134" s="24" t="s">
        <v>109</v>
      </c>
      <c r="D134" s="25"/>
      <c r="E134" s="25"/>
      <c r="F134" s="24"/>
    </row>
    <row r="135">
      <c r="A135" s="24" t="s">
        <v>514</v>
      </c>
      <c r="B135" s="24" t="s">
        <v>515</v>
      </c>
      <c r="C135" s="24" t="s">
        <v>109</v>
      </c>
      <c r="D135" s="25">
        <v>46313.0</v>
      </c>
      <c r="E135" s="25">
        <v>46319.0</v>
      </c>
      <c r="F135" s="24" t="s">
        <v>75</v>
      </c>
    </row>
    <row r="136">
      <c r="A136" s="24" t="s">
        <v>516</v>
      </c>
      <c r="B136" s="24" t="s">
        <v>517</v>
      </c>
      <c r="C136" s="24" t="s">
        <v>109</v>
      </c>
      <c r="D136" s="25">
        <v>46320.0</v>
      </c>
      <c r="E136" s="25">
        <v>46326.0</v>
      </c>
      <c r="F136" s="24" t="s">
        <v>75</v>
      </c>
    </row>
    <row r="137">
      <c r="A137" s="24" t="s">
        <v>518</v>
      </c>
      <c r="B137" s="24" t="s">
        <v>519</v>
      </c>
      <c r="C137" s="24" t="s">
        <v>109</v>
      </c>
      <c r="D137" s="25">
        <v>46266.0</v>
      </c>
      <c r="E137" s="25">
        <v>46295.0</v>
      </c>
      <c r="F137" s="24" t="s">
        <v>75</v>
      </c>
    </row>
    <row r="138">
      <c r="A138" s="24" t="s">
        <v>520</v>
      </c>
      <c r="B138" s="24" t="s">
        <v>521</v>
      </c>
      <c r="C138" s="24" t="s">
        <v>109</v>
      </c>
      <c r="D138" s="25">
        <v>46342.0</v>
      </c>
      <c r="E138" s="25">
        <v>46353.0</v>
      </c>
      <c r="F138" s="24" t="s">
        <v>75</v>
      </c>
    </row>
    <row r="139">
      <c r="A139" s="24" t="s">
        <v>523</v>
      </c>
      <c r="B139" s="24" t="s">
        <v>524</v>
      </c>
      <c r="C139" s="24" t="s">
        <v>109</v>
      </c>
      <c r="D139" s="25">
        <v>46356.0</v>
      </c>
      <c r="E139" s="25">
        <v>46367.0</v>
      </c>
      <c r="F139" s="24" t="s">
        <v>75</v>
      </c>
    </row>
    <row r="140">
      <c r="A140" s="24" t="s">
        <v>525</v>
      </c>
      <c r="B140" s="24" t="s">
        <v>526</v>
      </c>
      <c r="C140" s="24" t="s">
        <v>109</v>
      </c>
      <c r="D140" s="25">
        <v>46367.0</v>
      </c>
      <c r="E140" s="25">
        <v>46372.0</v>
      </c>
      <c r="F140" s="24" t="s">
        <v>75</v>
      </c>
    </row>
    <row r="141">
      <c r="A141" s="24" t="s">
        <v>527</v>
      </c>
      <c r="B141" s="24" t="s">
        <v>528</v>
      </c>
      <c r="C141" s="24" t="s">
        <v>109</v>
      </c>
      <c r="D141" s="25">
        <v>46405.0</v>
      </c>
      <c r="E141" s="25">
        <v>46405.0</v>
      </c>
      <c r="F141" s="24" t="s">
        <v>75</v>
      </c>
    </row>
    <row r="142">
      <c r="A142" s="24" t="s">
        <v>529</v>
      </c>
      <c r="B142" s="24" t="s">
        <v>530</v>
      </c>
      <c r="C142" s="24" t="s">
        <v>109</v>
      </c>
      <c r="D142" s="25">
        <v>46404.0</v>
      </c>
      <c r="E142" s="25">
        <v>46405.0</v>
      </c>
      <c r="F142" s="24" t="s">
        <v>75</v>
      </c>
    </row>
    <row r="143">
      <c r="A143" s="24" t="s">
        <v>531</v>
      </c>
      <c r="B143" s="24" t="s">
        <v>532</v>
      </c>
      <c r="C143" s="24" t="s">
        <v>109</v>
      </c>
      <c r="D143" s="25">
        <v>46272.0</v>
      </c>
      <c r="E143" s="25">
        <v>46295.0</v>
      </c>
      <c r="F143" s="24" t="s">
        <v>75</v>
      </c>
    </row>
    <row r="144">
      <c r="A144" s="24" t="s">
        <v>534</v>
      </c>
      <c r="B144" s="24" t="s">
        <v>535</v>
      </c>
      <c r="C144" s="24" t="s">
        <v>112</v>
      </c>
      <c r="D144" s="25">
        <v>46230.0</v>
      </c>
      <c r="E144" s="25">
        <v>46248.0</v>
      </c>
      <c r="F144" s="24" t="s">
        <v>80</v>
      </c>
    </row>
    <row r="145">
      <c r="A145" s="24" t="s">
        <v>536</v>
      </c>
      <c r="B145" s="24"/>
      <c r="C145" s="24" t="s">
        <v>112</v>
      </c>
      <c r="D145" s="25"/>
      <c r="E145" s="25"/>
      <c r="F145" s="24" t="s">
        <v>75</v>
      </c>
    </row>
    <row r="146">
      <c r="A146" s="24" t="s">
        <v>537</v>
      </c>
      <c r="B146" s="24" t="s">
        <v>538</v>
      </c>
      <c r="C146" s="24" t="s">
        <v>112</v>
      </c>
      <c r="D146" s="25">
        <v>46264.0</v>
      </c>
      <c r="E146" s="25">
        <v>46265.0</v>
      </c>
      <c r="F146" s="24" t="s">
        <v>75</v>
      </c>
    </row>
    <row r="147">
      <c r="A147" s="24" t="s">
        <v>540</v>
      </c>
      <c r="B147" s="24" t="s">
        <v>541</v>
      </c>
      <c r="C147" s="24" t="s">
        <v>112</v>
      </c>
      <c r="D147" s="25">
        <v>46268.0</v>
      </c>
      <c r="E147" s="25">
        <v>46268.0</v>
      </c>
      <c r="F147" s="24" t="s">
        <v>75</v>
      </c>
    </row>
    <row r="148">
      <c r="A148" s="24" t="s">
        <v>542</v>
      </c>
      <c r="B148" s="24" t="s">
        <v>543</v>
      </c>
      <c r="C148" s="24" t="s">
        <v>112</v>
      </c>
      <c r="D148" s="25">
        <v>46272.0</v>
      </c>
      <c r="E148" s="25">
        <v>46279.0</v>
      </c>
      <c r="F148" s="24" t="s">
        <v>75</v>
      </c>
    </row>
    <row r="149">
      <c r="A149" s="24" t="s">
        <v>544</v>
      </c>
      <c r="B149" s="24" t="s">
        <v>545</v>
      </c>
      <c r="C149" s="24" t="s">
        <v>112</v>
      </c>
      <c r="D149" s="25">
        <v>46272.0</v>
      </c>
      <c r="E149" s="25">
        <v>46272.0</v>
      </c>
      <c r="F149" s="24" t="s">
        <v>75</v>
      </c>
    </row>
    <row r="150">
      <c r="A150" s="24" t="s">
        <v>547</v>
      </c>
      <c r="B150" s="24" t="s">
        <v>548</v>
      </c>
      <c r="C150" s="24" t="s">
        <v>112</v>
      </c>
      <c r="D150" s="25">
        <v>46317.0</v>
      </c>
      <c r="E150" s="25">
        <v>46327.0</v>
      </c>
      <c r="F150" s="24" t="s">
        <v>75</v>
      </c>
    </row>
    <row r="151">
      <c r="A151" s="24" t="s">
        <v>549</v>
      </c>
      <c r="B151" s="24" t="s">
        <v>550</v>
      </c>
      <c r="C151" s="24" t="s">
        <v>112</v>
      </c>
      <c r="D151" s="25">
        <v>46318.0</v>
      </c>
      <c r="E151" s="25">
        <v>46327.0</v>
      </c>
      <c r="F151" s="24" t="s">
        <v>75</v>
      </c>
    </row>
    <row r="152">
      <c r="A152" s="24" t="s">
        <v>551</v>
      </c>
      <c r="B152" s="24" t="s">
        <v>552</v>
      </c>
      <c r="C152" s="24" t="s">
        <v>112</v>
      </c>
      <c r="D152" s="25">
        <v>46311.0</v>
      </c>
      <c r="E152" s="25">
        <v>46319.0</v>
      </c>
      <c r="F152" s="24" t="s">
        <v>75</v>
      </c>
    </row>
    <row r="153">
      <c r="A153" s="24" t="s">
        <v>553</v>
      </c>
      <c r="B153" s="24" t="s">
        <v>554</v>
      </c>
      <c r="C153" s="24" t="s">
        <v>112</v>
      </c>
      <c r="D153" s="25">
        <v>46320.0</v>
      </c>
      <c r="E153" s="25">
        <v>46320.0</v>
      </c>
      <c r="F153" s="24" t="s">
        <v>75</v>
      </c>
    </row>
    <row r="154">
      <c r="A154" s="24" t="s">
        <v>555</v>
      </c>
      <c r="B154" s="24" t="s">
        <v>556</v>
      </c>
      <c r="C154" s="24" t="s">
        <v>112</v>
      </c>
      <c r="D154" s="25">
        <v>46327.0</v>
      </c>
      <c r="E154" s="25">
        <v>46329.0</v>
      </c>
      <c r="F154" s="24" t="s">
        <v>75</v>
      </c>
    </row>
    <row r="155">
      <c r="A155" s="24" t="s">
        <v>557</v>
      </c>
      <c r="B155" s="24" t="s">
        <v>558</v>
      </c>
      <c r="C155" s="24" t="s">
        <v>112</v>
      </c>
      <c r="D155" s="25">
        <v>46314.0</v>
      </c>
      <c r="E155" s="25">
        <v>46330.0</v>
      </c>
      <c r="F155" s="24" t="s">
        <v>75</v>
      </c>
    </row>
    <row r="156">
      <c r="A156" s="24" t="s">
        <v>559</v>
      </c>
      <c r="B156" s="24" t="s">
        <v>560</v>
      </c>
      <c r="C156" s="24" t="s">
        <v>112</v>
      </c>
      <c r="D156" s="25">
        <v>46332.0</v>
      </c>
      <c r="E156" s="25">
        <v>46332.0</v>
      </c>
      <c r="F156" s="24" t="s">
        <v>75</v>
      </c>
    </row>
    <row r="157">
      <c r="A157" s="24" t="s">
        <v>561</v>
      </c>
      <c r="B157" s="24" t="s">
        <v>562</v>
      </c>
      <c r="C157" s="24" t="s">
        <v>112</v>
      </c>
      <c r="D157" s="25">
        <v>46333.0</v>
      </c>
      <c r="E157" s="25">
        <v>46333.0</v>
      </c>
      <c r="F157" s="24" t="s">
        <v>75</v>
      </c>
    </row>
    <row r="158">
      <c r="A158" s="24" t="s">
        <v>563</v>
      </c>
      <c r="B158" s="24" t="s">
        <v>564</v>
      </c>
      <c r="C158" s="24" t="s">
        <v>112</v>
      </c>
      <c r="D158" s="25">
        <v>46334.0</v>
      </c>
      <c r="E158" s="25">
        <v>46334.0</v>
      </c>
      <c r="F158" s="24" t="s">
        <v>75</v>
      </c>
    </row>
    <row r="159">
      <c r="A159" s="24" t="s">
        <v>566</v>
      </c>
      <c r="B159" s="24" t="s">
        <v>567</v>
      </c>
      <c r="C159" s="24" t="s">
        <v>112</v>
      </c>
      <c r="D159" s="25">
        <v>46337.0</v>
      </c>
      <c r="E159" s="25">
        <v>46337.0</v>
      </c>
      <c r="F159" s="24" t="s">
        <v>75</v>
      </c>
    </row>
    <row r="160">
      <c r="A160" s="24" t="s">
        <v>568</v>
      </c>
      <c r="B160" s="24" t="s">
        <v>569</v>
      </c>
      <c r="C160" s="24" t="s">
        <v>112</v>
      </c>
      <c r="D160" s="25">
        <v>46340.0</v>
      </c>
      <c r="E160" s="25">
        <v>46341.0</v>
      </c>
      <c r="F160" s="24" t="s">
        <v>75</v>
      </c>
    </row>
    <row r="161">
      <c r="A161" s="24" t="s">
        <v>570</v>
      </c>
      <c r="B161" s="24" t="s">
        <v>571</v>
      </c>
      <c r="C161" s="24" t="s">
        <v>112</v>
      </c>
      <c r="D161" s="25">
        <v>46345.0</v>
      </c>
      <c r="E161" s="25">
        <v>46345.0</v>
      </c>
      <c r="F161" s="24" t="s">
        <v>75</v>
      </c>
    </row>
    <row r="162">
      <c r="A162" s="24" t="s">
        <v>572</v>
      </c>
      <c r="B162" s="24" t="s">
        <v>573</v>
      </c>
      <c r="C162" s="24" t="s">
        <v>112</v>
      </c>
      <c r="D162" s="25">
        <v>46356.0</v>
      </c>
      <c r="E162" s="25">
        <v>46356.0</v>
      </c>
      <c r="F162" s="24" t="s">
        <v>75</v>
      </c>
    </row>
    <row r="163">
      <c r="A163" s="24" t="s">
        <v>574</v>
      </c>
      <c r="B163" s="24" t="s">
        <v>575</v>
      </c>
      <c r="C163" s="24" t="s">
        <v>112</v>
      </c>
      <c r="D163" s="25">
        <v>46358.0</v>
      </c>
      <c r="E163" s="25">
        <v>46358.0</v>
      </c>
      <c r="F163" s="24" t="s">
        <v>75</v>
      </c>
    </row>
    <row r="164">
      <c r="A164" s="24" t="s">
        <v>576</v>
      </c>
      <c r="B164" s="24" t="s">
        <v>577</v>
      </c>
      <c r="C164" s="24" t="s">
        <v>112</v>
      </c>
      <c r="D164" s="25">
        <v>46391.0</v>
      </c>
      <c r="E164" s="25">
        <v>46393.0</v>
      </c>
      <c r="F164" s="24" t="s">
        <v>75</v>
      </c>
    </row>
    <row r="165">
      <c r="A165" s="24" t="s">
        <v>579</v>
      </c>
      <c r="B165" s="24" t="s">
        <v>580</v>
      </c>
      <c r="C165" s="24" t="s">
        <v>112</v>
      </c>
      <c r="D165" s="25">
        <v>46394.0</v>
      </c>
      <c r="E165" s="25">
        <v>46396.0</v>
      </c>
      <c r="F165" s="24" t="s">
        <v>75</v>
      </c>
    </row>
    <row r="166">
      <c r="A166" s="24" t="s">
        <v>581</v>
      </c>
      <c r="B166" s="24" t="s">
        <v>582</v>
      </c>
      <c r="C166" s="24" t="s">
        <v>112</v>
      </c>
      <c r="D166" s="25">
        <v>46397.0</v>
      </c>
      <c r="E166" s="25">
        <v>46397.0</v>
      </c>
      <c r="F166" s="24" t="s">
        <v>75</v>
      </c>
    </row>
    <row r="167">
      <c r="A167" s="24" t="s">
        <v>583</v>
      </c>
      <c r="B167" s="24" t="s">
        <v>584</v>
      </c>
      <c r="C167" s="24" t="s">
        <v>112</v>
      </c>
      <c r="D167" s="25">
        <v>46398.0</v>
      </c>
      <c r="E167" s="25">
        <v>46400.0</v>
      </c>
      <c r="F167" s="24" t="s">
        <v>75</v>
      </c>
    </row>
    <row r="168">
      <c r="A168" s="24" t="s">
        <v>585</v>
      </c>
      <c r="B168" s="24" t="s">
        <v>586</v>
      </c>
      <c r="C168" s="24" t="s">
        <v>112</v>
      </c>
      <c r="D168" s="25">
        <v>46401.0</v>
      </c>
      <c r="E168" s="25">
        <v>46403.0</v>
      </c>
      <c r="F168" s="24" t="s">
        <v>75</v>
      </c>
    </row>
    <row r="169">
      <c r="A169" s="24" t="s">
        <v>587</v>
      </c>
      <c r="B169" s="24" t="s">
        <v>588</v>
      </c>
      <c r="C169" s="24" t="s">
        <v>112</v>
      </c>
      <c r="D169" s="25">
        <v>46404.0</v>
      </c>
      <c r="E169" s="25">
        <v>46404.0</v>
      </c>
      <c r="F169" s="24" t="s">
        <v>75</v>
      </c>
    </row>
    <row r="170">
      <c r="A170" s="24" t="s">
        <v>589</v>
      </c>
      <c r="B170" s="24" t="s">
        <v>590</v>
      </c>
      <c r="C170" s="24" t="s">
        <v>112</v>
      </c>
      <c r="D170" s="25">
        <v>46425.0</v>
      </c>
      <c r="E170" s="25">
        <v>46425.0</v>
      </c>
      <c r="F170" s="24" t="s">
        <v>75</v>
      </c>
    </row>
    <row r="171">
      <c r="A171" s="24" t="s">
        <v>592</v>
      </c>
      <c r="B171" s="24" t="s">
        <v>593</v>
      </c>
      <c r="C171" s="24" t="s">
        <v>112</v>
      </c>
      <c r="D171" s="25">
        <v>46230.0</v>
      </c>
      <c r="E171" s="25">
        <v>46241.0</v>
      </c>
      <c r="F171" s="24" t="s">
        <v>75</v>
      </c>
    </row>
    <row r="172">
      <c r="A172" s="24" t="s">
        <v>594</v>
      </c>
      <c r="B172" s="24" t="s">
        <v>595</v>
      </c>
      <c r="C172" s="24" t="s">
        <v>112</v>
      </c>
      <c r="D172" s="25">
        <v>46230.0</v>
      </c>
      <c r="E172" s="25">
        <v>46258.0</v>
      </c>
      <c r="F172" s="24" t="s">
        <v>75</v>
      </c>
    </row>
    <row r="173">
      <c r="A173" s="24" t="s">
        <v>596</v>
      </c>
      <c r="B173" s="24"/>
      <c r="C173" s="24" t="s">
        <v>112</v>
      </c>
      <c r="D173" s="25"/>
      <c r="E173" s="25"/>
      <c r="F173" s="24" t="s">
        <v>75</v>
      </c>
    </row>
    <row r="174">
      <c r="A174" s="24" t="s">
        <v>598</v>
      </c>
      <c r="B174" s="24"/>
      <c r="C174" s="24" t="s">
        <v>112</v>
      </c>
      <c r="D174" s="25"/>
      <c r="E174" s="25"/>
      <c r="F174" s="24" t="s">
        <v>75</v>
      </c>
    </row>
    <row r="175">
      <c r="A175" s="24" t="s">
        <v>599</v>
      </c>
      <c r="B175" s="24" t="s">
        <v>600</v>
      </c>
      <c r="C175" s="24" t="s">
        <v>112</v>
      </c>
      <c r="D175" s="25">
        <v>46266.0</v>
      </c>
      <c r="E175" s="25">
        <v>46314.0</v>
      </c>
      <c r="F175" s="24" t="s">
        <v>75</v>
      </c>
    </row>
    <row r="176">
      <c r="A176" s="24" t="s">
        <v>601</v>
      </c>
      <c r="B176" s="24" t="s">
        <v>602</v>
      </c>
      <c r="C176" s="24" t="s">
        <v>112</v>
      </c>
      <c r="D176" s="25">
        <v>46258.0</v>
      </c>
      <c r="E176" s="25">
        <v>46295.0</v>
      </c>
      <c r="F176" s="24" t="s">
        <v>80</v>
      </c>
    </row>
    <row r="177">
      <c r="A177" s="24" t="s">
        <v>603</v>
      </c>
      <c r="B177" s="24" t="s">
        <v>604</v>
      </c>
      <c r="C177" s="24" t="s">
        <v>112</v>
      </c>
      <c r="D177" s="25">
        <v>46314.0</v>
      </c>
      <c r="E177" s="25">
        <v>46314.0</v>
      </c>
      <c r="F177" s="24" t="s">
        <v>75</v>
      </c>
    </row>
    <row r="178">
      <c r="A178" s="24" t="s">
        <v>606</v>
      </c>
      <c r="B178" s="24" t="s">
        <v>607</v>
      </c>
      <c r="C178" s="24" t="s">
        <v>112</v>
      </c>
      <c r="D178" s="25"/>
      <c r="E178" s="25"/>
      <c r="F178" s="24"/>
    </row>
    <row r="179">
      <c r="A179" s="24" t="s">
        <v>608</v>
      </c>
      <c r="B179" s="24" t="s">
        <v>609</v>
      </c>
      <c r="C179" s="24" t="s">
        <v>112</v>
      </c>
      <c r="D179" s="25">
        <v>46245.0</v>
      </c>
      <c r="E179" s="25">
        <v>46265.0</v>
      </c>
      <c r="F179" s="24" t="s">
        <v>75</v>
      </c>
    </row>
    <row r="180">
      <c r="A180" s="24" t="s">
        <v>610</v>
      </c>
      <c r="B180" s="24" t="s">
        <v>611</v>
      </c>
      <c r="C180" s="24" t="s">
        <v>112</v>
      </c>
      <c r="D180" s="25">
        <v>46247.0</v>
      </c>
      <c r="E180" s="25">
        <v>46276.0</v>
      </c>
      <c r="F180" s="24" t="s">
        <v>75</v>
      </c>
    </row>
    <row r="181">
      <c r="A181" s="24" t="s">
        <v>612</v>
      </c>
      <c r="B181" s="24" t="s">
        <v>613</v>
      </c>
      <c r="C181" s="24" t="s">
        <v>112</v>
      </c>
      <c r="D181" s="25">
        <v>46284.0</v>
      </c>
      <c r="E181" s="25">
        <v>46284.0</v>
      </c>
      <c r="F181" s="24" t="s">
        <v>75</v>
      </c>
    </row>
    <row r="182">
      <c r="A182" s="24" t="s">
        <v>614</v>
      </c>
      <c r="B182" s="24" t="s">
        <v>615</v>
      </c>
      <c r="C182" s="24" t="s">
        <v>112</v>
      </c>
      <c r="D182" s="25">
        <v>46292.0</v>
      </c>
      <c r="E182" s="25">
        <v>46299.0</v>
      </c>
      <c r="F182" s="24" t="s">
        <v>75</v>
      </c>
    </row>
    <row r="183">
      <c r="A183" s="24" t="s">
        <v>616</v>
      </c>
      <c r="B183" s="24" t="s">
        <v>617</v>
      </c>
      <c r="C183" s="24" t="s">
        <v>112</v>
      </c>
      <c r="D183" s="25">
        <v>46331.0</v>
      </c>
      <c r="E183" s="25">
        <v>46331.0</v>
      </c>
      <c r="F183" s="24" t="s">
        <v>75</v>
      </c>
    </row>
    <row r="184">
      <c r="A184" s="24" t="s">
        <v>619</v>
      </c>
      <c r="B184" s="24" t="s">
        <v>620</v>
      </c>
      <c r="C184" s="24" t="s">
        <v>112</v>
      </c>
      <c r="D184" s="25">
        <v>46335.0</v>
      </c>
      <c r="E184" s="25">
        <v>46336.0</v>
      </c>
      <c r="F184" s="24" t="s">
        <v>75</v>
      </c>
    </row>
    <row r="185">
      <c r="A185" s="24" t="s">
        <v>621</v>
      </c>
      <c r="B185" s="24" t="s">
        <v>622</v>
      </c>
      <c r="C185" s="24" t="s">
        <v>112</v>
      </c>
      <c r="D185" s="25">
        <v>46295.0</v>
      </c>
      <c r="E185" s="25">
        <v>46346.0</v>
      </c>
      <c r="F185" s="24" t="s">
        <v>75</v>
      </c>
    </row>
    <row r="186">
      <c r="A186" s="24" t="s">
        <v>623</v>
      </c>
      <c r="B186" s="24" t="s">
        <v>624</v>
      </c>
      <c r="C186" s="24" t="s">
        <v>112</v>
      </c>
      <c r="D186" s="25">
        <v>46357.0</v>
      </c>
      <c r="E186" s="25">
        <v>46357.0</v>
      </c>
      <c r="F186" s="24" t="s">
        <v>75</v>
      </c>
    </row>
    <row r="187">
      <c r="A187" s="24" t="s">
        <v>625</v>
      </c>
      <c r="B187" s="24" t="s">
        <v>626</v>
      </c>
      <c r="C187" s="24" t="s">
        <v>112</v>
      </c>
      <c r="D187" s="25">
        <v>46251.0</v>
      </c>
      <c r="E187" s="25">
        <v>46255.0</v>
      </c>
      <c r="F187" s="24" t="s">
        <v>75</v>
      </c>
    </row>
    <row r="188">
      <c r="A188" s="24" t="s">
        <v>627</v>
      </c>
      <c r="B188" s="24" t="s">
        <v>628</v>
      </c>
      <c r="C188" s="24" t="s">
        <v>115</v>
      </c>
      <c r="D188" s="25">
        <v>46265.0</v>
      </c>
      <c r="E188" s="25">
        <v>46270.0</v>
      </c>
      <c r="F188" s="24" t="s">
        <v>75</v>
      </c>
    </row>
    <row r="189">
      <c r="A189" s="24" t="s">
        <v>629</v>
      </c>
      <c r="B189" s="24" t="s">
        <v>630</v>
      </c>
      <c r="C189" s="24" t="s">
        <v>115</v>
      </c>
      <c r="D189" s="25">
        <v>46271.0</v>
      </c>
      <c r="E189" s="25">
        <v>46278.0</v>
      </c>
      <c r="F189" s="24" t="s">
        <v>75</v>
      </c>
    </row>
    <row r="190">
      <c r="A190" s="24" t="s">
        <v>631</v>
      </c>
      <c r="B190" s="24" t="s">
        <v>632</v>
      </c>
      <c r="C190" s="24" t="s">
        <v>115</v>
      </c>
      <c r="D190" s="25">
        <v>46270.0</v>
      </c>
      <c r="E190" s="25">
        <v>46284.0</v>
      </c>
      <c r="F190" s="24" t="s">
        <v>75</v>
      </c>
    </row>
    <row r="191">
      <c r="A191" s="24" t="s">
        <v>634</v>
      </c>
      <c r="B191" s="24" t="s">
        <v>263</v>
      </c>
      <c r="C191" s="24" t="s">
        <v>115</v>
      </c>
      <c r="D191" s="25"/>
      <c r="E191" s="25"/>
      <c r="F191" s="24"/>
    </row>
    <row r="192">
      <c r="A192" s="24" t="s">
        <v>635</v>
      </c>
      <c r="B192" s="24" t="s">
        <v>636</v>
      </c>
      <c r="C192" s="24" t="s">
        <v>115</v>
      </c>
      <c r="D192" s="25">
        <v>46327.0</v>
      </c>
      <c r="E192" s="25">
        <v>46402.0</v>
      </c>
      <c r="F192" s="24" t="s">
        <v>75</v>
      </c>
    </row>
    <row r="193">
      <c r="A193" s="24" t="s">
        <v>637</v>
      </c>
      <c r="B193" s="24" t="s">
        <v>638</v>
      </c>
      <c r="C193" s="24" t="s">
        <v>115</v>
      </c>
      <c r="D193" s="25"/>
      <c r="E193" s="25"/>
      <c r="F193" s="24" t="s">
        <v>75</v>
      </c>
    </row>
    <row r="194">
      <c r="A194" s="24" t="s">
        <v>639</v>
      </c>
      <c r="B194" s="24" t="s">
        <v>640</v>
      </c>
      <c r="C194" s="24" t="s">
        <v>115</v>
      </c>
      <c r="D194" s="25"/>
      <c r="E194" s="25"/>
      <c r="F194" s="24" t="s">
        <v>75</v>
      </c>
    </row>
    <row r="195">
      <c r="A195" s="24" t="s">
        <v>641</v>
      </c>
      <c r="B195" s="24" t="s">
        <v>642</v>
      </c>
      <c r="C195" s="24" t="s">
        <v>115</v>
      </c>
      <c r="D195" s="25"/>
      <c r="E195" s="25"/>
      <c r="F195" s="24" t="s">
        <v>75</v>
      </c>
    </row>
    <row r="196">
      <c r="A196" s="24" t="s">
        <v>643</v>
      </c>
      <c r="B196" s="24" t="s">
        <v>644</v>
      </c>
      <c r="C196" s="24" t="s">
        <v>115</v>
      </c>
      <c r="D196" s="25"/>
      <c r="E196" s="25"/>
      <c r="F196" s="24" t="s">
        <v>75</v>
      </c>
    </row>
    <row r="197">
      <c r="A197" s="24" t="s">
        <v>645</v>
      </c>
      <c r="B197" s="24" t="s">
        <v>646</v>
      </c>
      <c r="C197" s="24" t="s">
        <v>115</v>
      </c>
      <c r="D197" s="25"/>
      <c r="E197" s="25"/>
      <c r="F197" s="24" t="s">
        <v>75</v>
      </c>
    </row>
    <row r="198">
      <c r="A198" s="24" t="s">
        <v>647</v>
      </c>
      <c r="B198" s="24" t="s">
        <v>648</v>
      </c>
      <c r="C198" s="24" t="s">
        <v>115</v>
      </c>
      <c r="D198" s="25"/>
      <c r="E198" s="25"/>
      <c r="F198" s="24" t="s">
        <v>75</v>
      </c>
    </row>
    <row r="199">
      <c r="A199" s="24" t="s">
        <v>649</v>
      </c>
      <c r="B199" s="24" t="s">
        <v>650</v>
      </c>
      <c r="C199" s="24" t="s">
        <v>115</v>
      </c>
      <c r="D199" s="25"/>
      <c r="E199" s="25"/>
      <c r="F199" s="24" t="s">
        <v>75</v>
      </c>
    </row>
    <row r="200">
      <c r="A200" s="24" t="s">
        <v>652</v>
      </c>
      <c r="B200" s="24" t="s">
        <v>653</v>
      </c>
      <c r="C200" s="24" t="s">
        <v>115</v>
      </c>
      <c r="D200" s="25">
        <v>46327.0</v>
      </c>
      <c r="E200" s="25">
        <v>46402.0</v>
      </c>
      <c r="F200" s="24" t="s">
        <v>75</v>
      </c>
    </row>
    <row r="201">
      <c r="A201" s="24" t="s">
        <v>654</v>
      </c>
      <c r="B201" s="24" t="s">
        <v>655</v>
      </c>
      <c r="C201" s="24" t="s">
        <v>115</v>
      </c>
      <c r="D201" s="25">
        <v>46408.0</v>
      </c>
      <c r="E201" s="25">
        <v>46409.0</v>
      </c>
      <c r="F201" s="24" t="s">
        <v>75</v>
      </c>
    </row>
    <row r="202">
      <c r="A202" s="24" t="s">
        <v>656</v>
      </c>
      <c r="B202" s="24" t="s">
        <v>657</v>
      </c>
      <c r="C202" s="24" t="s">
        <v>115</v>
      </c>
      <c r="D202" s="25">
        <v>46327.0</v>
      </c>
      <c r="E202" s="25">
        <v>46402.0</v>
      </c>
      <c r="F202" s="24" t="s">
        <v>75</v>
      </c>
    </row>
    <row r="203">
      <c r="A203" s="24" t="s">
        <v>659</v>
      </c>
      <c r="B203" s="24" t="s">
        <v>660</v>
      </c>
      <c r="C203" s="24" t="s">
        <v>115</v>
      </c>
      <c r="D203" s="25"/>
      <c r="E203" s="25">
        <v>46286.0</v>
      </c>
      <c r="F203" s="24" t="s">
        <v>75</v>
      </c>
    </row>
    <row r="204">
      <c r="A204" s="24" t="s">
        <v>661</v>
      </c>
      <c r="B204" s="24" t="s">
        <v>662</v>
      </c>
      <c r="C204" s="24" t="s">
        <v>115</v>
      </c>
      <c r="D204" s="25"/>
      <c r="E204" s="25">
        <v>46293.0</v>
      </c>
      <c r="F204" s="24" t="s">
        <v>75</v>
      </c>
    </row>
    <row r="205">
      <c r="A205" s="24" t="s">
        <v>663</v>
      </c>
      <c r="B205" s="24" t="s">
        <v>664</v>
      </c>
      <c r="C205" s="24" t="s">
        <v>115</v>
      </c>
      <c r="D205" s="25">
        <v>46293.0</v>
      </c>
      <c r="E205" s="25">
        <v>46319.0</v>
      </c>
      <c r="F205" s="24" t="s">
        <v>75</v>
      </c>
    </row>
    <row r="206">
      <c r="A206" s="24" t="s">
        <v>665</v>
      </c>
      <c r="B206" s="24" t="s">
        <v>666</v>
      </c>
      <c r="C206" s="24" t="s">
        <v>115</v>
      </c>
      <c r="D206" s="25">
        <v>46305.0</v>
      </c>
      <c r="E206" s="25">
        <v>46319.0</v>
      </c>
      <c r="F206" s="24" t="s">
        <v>75</v>
      </c>
    </row>
    <row r="207">
      <c r="A207" s="24" t="s">
        <v>667</v>
      </c>
      <c r="B207" s="24" t="s">
        <v>668</v>
      </c>
      <c r="C207" s="24" t="s">
        <v>115</v>
      </c>
      <c r="D207" s="25">
        <v>46319.0</v>
      </c>
      <c r="E207" s="25">
        <v>46331.0</v>
      </c>
      <c r="F207" s="24" t="s">
        <v>75</v>
      </c>
    </row>
    <row r="208">
      <c r="A208" s="24" t="s">
        <v>669</v>
      </c>
      <c r="B208" s="24" t="s">
        <v>670</v>
      </c>
      <c r="C208" s="24" t="s">
        <v>115</v>
      </c>
      <c r="D208" s="25">
        <v>46331.0</v>
      </c>
      <c r="E208" s="25">
        <v>46334.0</v>
      </c>
      <c r="F208" s="24" t="s">
        <v>75</v>
      </c>
    </row>
    <row r="209">
      <c r="A209" s="24" t="s">
        <v>671</v>
      </c>
      <c r="B209" s="24" t="s">
        <v>672</v>
      </c>
      <c r="C209" s="24" t="s">
        <v>115</v>
      </c>
      <c r="D209" s="25">
        <v>46334.0</v>
      </c>
      <c r="E209" s="25">
        <v>46369.0</v>
      </c>
      <c r="F209" s="24" t="s">
        <v>75</v>
      </c>
    </row>
    <row r="210">
      <c r="A210" s="24" t="s">
        <v>673</v>
      </c>
      <c r="B210" s="24" t="s">
        <v>675</v>
      </c>
      <c r="C210" s="24" t="s">
        <v>115</v>
      </c>
      <c r="D210" s="25">
        <v>46388.0</v>
      </c>
      <c r="E210" s="25">
        <v>46402.0</v>
      </c>
      <c r="F210" s="24" t="s">
        <v>75</v>
      </c>
    </row>
    <row r="211">
      <c r="A211" s="24" t="s">
        <v>676</v>
      </c>
      <c r="B211" s="24" t="s">
        <v>677</v>
      </c>
      <c r="C211" s="24" t="s">
        <v>115</v>
      </c>
      <c r="D211" s="25">
        <v>46402.0</v>
      </c>
      <c r="E211" s="25">
        <v>46405.0</v>
      </c>
      <c r="F211" s="24" t="s">
        <v>75</v>
      </c>
    </row>
    <row r="212">
      <c r="A212" s="24" t="s">
        <v>678</v>
      </c>
      <c r="B212" s="24" t="s">
        <v>679</v>
      </c>
      <c r="C212" s="24" t="s">
        <v>115</v>
      </c>
      <c r="D212" s="25">
        <v>46405.0</v>
      </c>
      <c r="E212" s="25">
        <v>46411.0</v>
      </c>
      <c r="F212" s="24" t="s">
        <v>75</v>
      </c>
    </row>
    <row r="213">
      <c r="A213" s="24" t="s">
        <v>680</v>
      </c>
      <c r="B213" s="24" t="s">
        <v>681</v>
      </c>
      <c r="C213" s="24" t="s">
        <v>121</v>
      </c>
      <c r="D213" s="25">
        <v>46430.0</v>
      </c>
      <c r="E213" s="25">
        <v>46433.0</v>
      </c>
      <c r="F213" s="24" t="s">
        <v>75</v>
      </c>
    </row>
    <row r="214">
      <c r="A214" s="24" t="s">
        <v>682</v>
      </c>
      <c r="B214" s="24" t="s">
        <v>683</v>
      </c>
      <c r="C214" s="24" t="s">
        <v>121</v>
      </c>
      <c r="D214" s="25">
        <v>46508.0</v>
      </c>
      <c r="E214" s="25">
        <v>46512.0</v>
      </c>
      <c r="F214" s="24"/>
    </row>
    <row r="215">
      <c r="A215" s="24" t="s">
        <v>684</v>
      </c>
      <c r="B215" s="24" t="s">
        <v>685</v>
      </c>
      <c r="C215" s="24" t="s">
        <v>121</v>
      </c>
      <c r="D215" s="25">
        <v>46262.0</v>
      </c>
      <c r="E215" s="25">
        <v>46264.0</v>
      </c>
      <c r="F215" s="24" t="s">
        <v>80</v>
      </c>
    </row>
    <row r="216">
      <c r="A216" s="24" t="s">
        <v>686</v>
      </c>
      <c r="B216" s="24" t="s">
        <v>687</v>
      </c>
      <c r="C216" s="24" t="s">
        <v>121</v>
      </c>
      <c r="D216" s="25">
        <v>46273.0</v>
      </c>
      <c r="E216" s="25">
        <v>46273.0</v>
      </c>
      <c r="F216" s="24" t="s">
        <v>75</v>
      </c>
    </row>
    <row r="217">
      <c r="A217" s="24" t="s">
        <v>689</v>
      </c>
      <c r="B217" s="24" t="s">
        <v>690</v>
      </c>
      <c r="C217" s="24" t="s">
        <v>121</v>
      </c>
      <c r="D217" s="25">
        <v>46271.0</v>
      </c>
      <c r="E217" s="25">
        <v>46279.0</v>
      </c>
      <c r="F217" s="24"/>
    </row>
    <row r="218">
      <c r="A218" s="24" t="s">
        <v>691</v>
      </c>
      <c r="B218" s="24" t="s">
        <v>692</v>
      </c>
      <c r="C218" s="24" t="s">
        <v>121</v>
      </c>
      <c r="D218" s="25"/>
      <c r="E218" s="25">
        <v>46266.0</v>
      </c>
      <c r="F218" s="24" t="s">
        <v>95</v>
      </c>
    </row>
    <row r="219">
      <c r="A219" s="24" t="s">
        <v>693</v>
      </c>
      <c r="B219" s="24" t="s">
        <v>694</v>
      </c>
      <c r="C219" s="24" t="s">
        <v>121</v>
      </c>
      <c r="D219" s="25"/>
      <c r="E219" s="25">
        <v>46267.0</v>
      </c>
      <c r="F219" s="24" t="s">
        <v>95</v>
      </c>
    </row>
    <row r="220">
      <c r="A220" s="24" t="s">
        <v>695</v>
      </c>
      <c r="B220" s="24" t="s">
        <v>696</v>
      </c>
      <c r="C220" s="24" t="s">
        <v>121</v>
      </c>
      <c r="D220" s="25"/>
      <c r="E220" s="25">
        <v>46280.0</v>
      </c>
      <c r="F220" s="24"/>
    </row>
    <row r="221">
      <c r="A221" s="24" t="s">
        <v>697</v>
      </c>
      <c r="B221" s="24" t="s">
        <v>698</v>
      </c>
      <c r="C221" s="24" t="s">
        <v>121</v>
      </c>
      <c r="D221" s="25"/>
      <c r="E221" s="25">
        <v>46286.0</v>
      </c>
      <c r="F221" s="24"/>
    </row>
    <row r="222">
      <c r="A222" s="24" t="s">
        <v>699</v>
      </c>
      <c r="B222" s="24" t="s">
        <v>700</v>
      </c>
      <c r="C222" s="24" t="s">
        <v>121</v>
      </c>
      <c r="D222" s="25"/>
      <c r="E222" s="25">
        <v>46302.0</v>
      </c>
      <c r="F222" s="24"/>
    </row>
    <row r="223">
      <c r="A223" s="24" t="s">
        <v>701</v>
      </c>
      <c r="B223" s="24" t="s">
        <v>702</v>
      </c>
      <c r="C223" s="24" t="s">
        <v>121</v>
      </c>
      <c r="D223" s="25">
        <v>46312.0</v>
      </c>
      <c r="E223" s="25">
        <v>46313.0</v>
      </c>
      <c r="F223" s="24"/>
    </row>
    <row r="224">
      <c r="A224" s="24" t="s">
        <v>703</v>
      </c>
      <c r="B224" s="24" t="s">
        <v>704</v>
      </c>
      <c r="C224" s="24" t="s">
        <v>121</v>
      </c>
      <c r="D224" s="25">
        <v>46307.0</v>
      </c>
      <c r="E224" s="25">
        <v>46308.0</v>
      </c>
      <c r="F224" s="24"/>
    </row>
    <row r="225">
      <c r="A225" s="24" t="s">
        <v>705</v>
      </c>
      <c r="B225" s="24" t="s">
        <v>706</v>
      </c>
      <c r="C225" s="24" t="s">
        <v>121</v>
      </c>
      <c r="D225" s="25">
        <v>46315.0</v>
      </c>
      <c r="E225" s="25">
        <v>46322.0</v>
      </c>
      <c r="F225" s="24"/>
    </row>
    <row r="226">
      <c r="A226" s="24" t="s">
        <v>707</v>
      </c>
      <c r="B226" s="24" t="s">
        <v>708</v>
      </c>
      <c r="C226" s="24" t="s">
        <v>121</v>
      </c>
      <c r="D226" s="25">
        <v>46326.0</v>
      </c>
      <c r="E226" s="25">
        <v>46327.0</v>
      </c>
      <c r="F226" s="24"/>
    </row>
    <row r="227">
      <c r="A227" s="24" t="s">
        <v>710</v>
      </c>
      <c r="B227" s="24" t="s">
        <v>711</v>
      </c>
      <c r="C227" s="24" t="s">
        <v>121</v>
      </c>
      <c r="D227" s="25">
        <v>46258.0</v>
      </c>
      <c r="E227" s="25">
        <v>46261.0</v>
      </c>
      <c r="F227" s="24" t="s">
        <v>95</v>
      </c>
    </row>
    <row r="228">
      <c r="A228" s="24"/>
      <c r="B228" s="24"/>
      <c r="C228" s="24"/>
      <c r="D228" s="24"/>
      <c r="E228" s="24"/>
      <c r="F228" s="24"/>
    </row>
    <row r="229">
      <c r="A229" s="24"/>
      <c r="B229" s="24"/>
      <c r="C229" s="24"/>
      <c r="D229" s="24"/>
      <c r="E229" s="24"/>
      <c r="F229" s="24"/>
    </row>
    <row r="230">
      <c r="A230" s="24"/>
      <c r="B230" s="24"/>
      <c r="C230" s="24"/>
      <c r="D230" s="24"/>
      <c r="E230" s="24"/>
      <c r="F230" s="24"/>
    </row>
    <row r="231">
      <c r="A231" s="24"/>
      <c r="B231" s="24"/>
      <c r="C231" s="24"/>
      <c r="D231" s="24"/>
      <c r="E231" s="24"/>
      <c r="F231" s="24"/>
    </row>
    <row r="232">
      <c r="A232" s="24"/>
      <c r="B232" s="24"/>
      <c r="C232" s="24"/>
      <c r="D232" s="24"/>
      <c r="E232" s="24"/>
      <c r="F232" s="24"/>
    </row>
    <row r="233">
      <c r="A233" s="24"/>
      <c r="B233" s="24"/>
      <c r="C233" s="24"/>
      <c r="D233" s="24"/>
      <c r="E233" s="24"/>
      <c r="F233" s="24"/>
    </row>
    <row r="234">
      <c r="A234" s="24"/>
      <c r="B234" s="24"/>
      <c r="C234" s="24"/>
      <c r="D234" s="24"/>
      <c r="E234" s="24"/>
      <c r="F234" s="24"/>
    </row>
    <row r="235">
      <c r="A235" s="24"/>
      <c r="B235" s="24"/>
      <c r="C235" s="24"/>
      <c r="D235" s="24"/>
      <c r="E235" s="24"/>
      <c r="F235" s="24"/>
    </row>
    <row r="236">
      <c r="A236" s="24"/>
      <c r="B236" s="24"/>
      <c r="C236" s="24"/>
      <c r="D236" s="24"/>
      <c r="E236" s="24"/>
      <c r="F236" s="24"/>
    </row>
    <row r="237">
      <c r="A237" s="24"/>
      <c r="B237" s="24"/>
      <c r="C237" s="24"/>
      <c r="D237" s="24"/>
      <c r="E237" s="24"/>
      <c r="F237" s="24"/>
    </row>
    <row r="238">
      <c r="A238" s="24"/>
      <c r="B238" s="24"/>
      <c r="C238" s="24"/>
      <c r="D238" s="24"/>
      <c r="E238" s="24"/>
      <c r="F238" s="24"/>
    </row>
    <row r="239">
      <c r="A239" s="24"/>
      <c r="B239" s="24"/>
      <c r="C239" s="24"/>
      <c r="D239" s="24"/>
      <c r="E239" s="24"/>
      <c r="F239" s="24"/>
    </row>
    <row r="240">
      <c r="A240" s="24"/>
      <c r="B240" s="24"/>
      <c r="C240" s="24"/>
      <c r="D240" s="24"/>
      <c r="E240" s="24"/>
      <c r="F240" s="24"/>
    </row>
    <row r="241">
      <c r="A241" s="24"/>
      <c r="B241" s="24"/>
      <c r="C241" s="24"/>
      <c r="D241" s="24"/>
      <c r="E241" s="24"/>
      <c r="F241" s="24"/>
    </row>
    <row r="242">
      <c r="A242" s="24"/>
      <c r="B242" s="24"/>
      <c r="C242" s="24"/>
      <c r="D242" s="24"/>
      <c r="E242" s="24"/>
      <c r="F242" s="24"/>
    </row>
    <row r="243">
      <c r="A243" s="24"/>
      <c r="B243" s="24"/>
      <c r="C243" s="24"/>
      <c r="D243" s="24"/>
      <c r="E243" s="24"/>
      <c r="F243" s="24"/>
    </row>
    <row r="244">
      <c r="A244" s="24"/>
      <c r="B244" s="24"/>
      <c r="C244" s="24"/>
      <c r="D244" s="24"/>
      <c r="E244" s="24"/>
      <c r="F244" s="24"/>
    </row>
    <row r="245">
      <c r="A245" s="24"/>
      <c r="B245" s="24"/>
      <c r="C245" s="24"/>
      <c r="D245" s="24"/>
      <c r="E245" s="24"/>
      <c r="F245" s="24"/>
    </row>
    <row r="246">
      <c r="A246" s="24"/>
      <c r="B246" s="24"/>
      <c r="C246" s="24"/>
      <c r="D246" s="24"/>
      <c r="E246" s="24"/>
      <c r="F246" s="24"/>
    </row>
    <row r="247">
      <c r="A247" s="24"/>
      <c r="B247" s="24"/>
      <c r="C247" s="24"/>
      <c r="D247" s="24"/>
      <c r="E247" s="24"/>
      <c r="F247" s="24"/>
    </row>
    <row r="248">
      <c r="A248" s="24"/>
      <c r="B248" s="24"/>
      <c r="C248" s="24"/>
      <c r="D248" s="24"/>
      <c r="E248" s="24"/>
      <c r="F248" s="24"/>
    </row>
    <row r="249">
      <c r="A249" s="24"/>
      <c r="B249" s="24"/>
      <c r="C249" s="24"/>
      <c r="D249" s="24"/>
      <c r="E249" s="24"/>
      <c r="F249" s="24"/>
    </row>
    <row r="250">
      <c r="A250" s="24"/>
      <c r="B250" s="24"/>
      <c r="C250" s="24"/>
      <c r="D250" s="24"/>
      <c r="E250" s="24"/>
      <c r="F250" s="24"/>
    </row>
    <row r="251">
      <c r="A251" s="24"/>
      <c r="B251" s="24"/>
      <c r="C251" s="24"/>
      <c r="D251" s="24"/>
      <c r="E251" s="24"/>
      <c r="F251" s="24"/>
    </row>
    <row r="252">
      <c r="A252" s="24"/>
      <c r="B252" s="24"/>
      <c r="C252" s="24"/>
      <c r="D252" s="24"/>
      <c r="E252" s="24"/>
      <c r="F252" s="24"/>
    </row>
    <row r="253">
      <c r="A253" s="24"/>
      <c r="B253" s="24"/>
      <c r="C253" s="24"/>
      <c r="D253" s="24"/>
      <c r="E253" s="24"/>
      <c r="F253" s="24"/>
    </row>
    <row r="254">
      <c r="A254" s="24"/>
      <c r="B254" s="24"/>
      <c r="C254" s="24"/>
      <c r="D254" s="24"/>
      <c r="E254" s="24"/>
      <c r="F254" s="24"/>
    </row>
    <row r="255">
      <c r="A255" s="24"/>
      <c r="B255" s="24"/>
      <c r="C255" s="24"/>
      <c r="D255" s="24"/>
      <c r="E255" s="24"/>
      <c r="F255" s="24"/>
    </row>
    <row r="256">
      <c r="A256" s="24"/>
      <c r="B256" s="24"/>
      <c r="C256" s="24"/>
      <c r="D256" s="24"/>
      <c r="E256" s="24"/>
      <c r="F256" s="24"/>
    </row>
    <row r="257">
      <c r="A257" s="24"/>
      <c r="B257" s="24"/>
      <c r="C257" s="24"/>
      <c r="D257" s="24"/>
      <c r="E257" s="24"/>
      <c r="F257" s="24"/>
    </row>
    <row r="258">
      <c r="A258" s="24"/>
      <c r="B258" s="24"/>
      <c r="C258" s="24"/>
      <c r="D258" s="24"/>
      <c r="E258" s="24"/>
      <c r="F258" s="24"/>
    </row>
    <row r="259">
      <c r="A259" s="24"/>
      <c r="B259" s="24"/>
      <c r="C259" s="24"/>
      <c r="D259" s="24"/>
      <c r="E259" s="24"/>
      <c r="F259" s="24"/>
    </row>
    <row r="260">
      <c r="A260" s="24"/>
      <c r="B260" s="24"/>
      <c r="C260" s="24"/>
      <c r="D260" s="24"/>
      <c r="E260" s="24"/>
      <c r="F260" s="24"/>
    </row>
    <row r="261">
      <c r="A261" s="24"/>
      <c r="B261" s="24"/>
      <c r="C261" s="24"/>
      <c r="D261" s="24"/>
      <c r="E261" s="24"/>
      <c r="F261" s="24"/>
    </row>
    <row r="262">
      <c r="A262" s="24"/>
      <c r="B262" s="24"/>
      <c r="C262" s="24"/>
      <c r="D262" s="24"/>
      <c r="E262" s="24"/>
      <c r="F262" s="24"/>
    </row>
    <row r="263">
      <c r="A263" s="24"/>
      <c r="B263" s="24"/>
      <c r="C263" s="24"/>
      <c r="D263" s="24"/>
      <c r="E263" s="24"/>
      <c r="F263" s="24"/>
    </row>
    <row r="264">
      <c r="A264" s="24"/>
      <c r="B264" s="24"/>
      <c r="C264" s="24"/>
      <c r="D264" s="24"/>
      <c r="E264" s="24"/>
      <c r="F264" s="24"/>
    </row>
    <row r="265">
      <c r="A265" s="24"/>
      <c r="B265" s="24"/>
      <c r="C265" s="24"/>
      <c r="D265" s="24"/>
      <c r="E265" s="24"/>
      <c r="F265" s="24"/>
    </row>
    <row r="266">
      <c r="A266" s="24"/>
      <c r="B266" s="24"/>
      <c r="C266" s="24"/>
      <c r="D266" s="24"/>
      <c r="E266" s="24"/>
      <c r="F266" s="24"/>
    </row>
    <row r="267">
      <c r="A267" s="24"/>
      <c r="B267" s="24"/>
      <c r="C267" s="24"/>
      <c r="D267" s="24"/>
      <c r="E267" s="24"/>
      <c r="F267" s="24"/>
    </row>
    <row r="268">
      <c r="A268" s="24"/>
      <c r="B268" s="24"/>
      <c r="C268" s="24"/>
      <c r="D268" s="24"/>
      <c r="E268" s="24"/>
      <c r="F268" s="24"/>
    </row>
    <row r="269">
      <c r="A269" s="24"/>
      <c r="B269" s="24"/>
      <c r="C269" s="24"/>
      <c r="D269" s="24"/>
      <c r="E269" s="24"/>
      <c r="F269" s="24"/>
    </row>
    <row r="270">
      <c r="A270" s="24"/>
      <c r="B270" s="24"/>
      <c r="C270" s="24"/>
      <c r="D270" s="24"/>
      <c r="E270" s="24"/>
      <c r="F270" s="24"/>
    </row>
    <row r="271">
      <c r="A271" s="24"/>
      <c r="B271" s="24"/>
      <c r="C271" s="24"/>
      <c r="D271" s="24"/>
      <c r="E271" s="24"/>
      <c r="F271" s="24"/>
    </row>
    <row r="272">
      <c r="A272" s="24"/>
      <c r="B272" s="24"/>
      <c r="C272" s="24"/>
      <c r="D272" s="24"/>
      <c r="E272" s="24"/>
      <c r="F272" s="24"/>
    </row>
    <row r="273">
      <c r="A273" s="24"/>
      <c r="B273" s="24"/>
      <c r="C273" s="24"/>
      <c r="D273" s="24"/>
      <c r="E273" s="24"/>
      <c r="F273" s="24"/>
    </row>
    <row r="274">
      <c r="A274" s="24"/>
      <c r="B274" s="24"/>
      <c r="C274" s="24"/>
      <c r="D274" s="24"/>
      <c r="E274" s="24"/>
      <c r="F274" s="24"/>
    </row>
    <row r="275">
      <c r="A275" s="24"/>
      <c r="B275" s="24"/>
      <c r="C275" s="24"/>
      <c r="D275" s="24"/>
      <c r="E275" s="24"/>
      <c r="F275" s="24"/>
    </row>
    <row r="276">
      <c r="A276" s="24"/>
      <c r="B276" s="24"/>
      <c r="C276" s="24"/>
      <c r="D276" s="24"/>
      <c r="E276" s="24"/>
      <c r="F276" s="24"/>
    </row>
    <row r="277">
      <c r="A277" s="24"/>
      <c r="B277" s="24"/>
      <c r="C277" s="24"/>
      <c r="D277" s="24"/>
      <c r="E277" s="24"/>
      <c r="F277" s="24"/>
    </row>
    <row r="278">
      <c r="A278" s="24"/>
      <c r="B278" s="24"/>
      <c r="C278" s="24"/>
      <c r="D278" s="24"/>
      <c r="E278" s="24"/>
      <c r="F278" s="24"/>
    </row>
    <row r="279">
      <c r="A279" s="24"/>
      <c r="B279" s="24"/>
      <c r="C279" s="24"/>
      <c r="D279" s="24"/>
      <c r="E279" s="24"/>
      <c r="F279" s="24"/>
    </row>
    <row r="280">
      <c r="A280" s="24"/>
      <c r="B280" s="24"/>
      <c r="C280" s="24"/>
      <c r="D280" s="24"/>
      <c r="E280" s="24"/>
      <c r="F280" s="24"/>
    </row>
    <row r="281">
      <c r="A281" s="24"/>
      <c r="B281" s="24"/>
      <c r="C281" s="24"/>
      <c r="D281" s="24"/>
      <c r="E281" s="24"/>
      <c r="F281" s="24"/>
    </row>
    <row r="282">
      <c r="A282" s="24"/>
      <c r="B282" s="24"/>
      <c r="C282" s="24"/>
      <c r="D282" s="24"/>
      <c r="E282" s="24"/>
      <c r="F282" s="24"/>
    </row>
    <row r="283">
      <c r="A283" s="24"/>
      <c r="B283" s="24"/>
      <c r="C283" s="24"/>
      <c r="D283" s="24"/>
      <c r="E283" s="24"/>
      <c r="F283" s="24"/>
    </row>
    <row r="284">
      <c r="A284" s="24"/>
      <c r="B284" s="24"/>
      <c r="C284" s="24"/>
      <c r="D284" s="24"/>
      <c r="E284" s="24"/>
      <c r="F284" s="24"/>
    </row>
    <row r="285">
      <c r="A285" s="24"/>
      <c r="B285" s="24"/>
      <c r="C285" s="24"/>
      <c r="D285" s="24"/>
      <c r="E285" s="24"/>
      <c r="F285" s="24"/>
    </row>
    <row r="286">
      <c r="A286" s="24"/>
      <c r="B286" s="24"/>
      <c r="C286" s="24"/>
      <c r="D286" s="24"/>
      <c r="E286" s="24"/>
      <c r="F286" s="24"/>
    </row>
    <row r="287">
      <c r="A287" s="24"/>
      <c r="B287" s="24"/>
      <c r="C287" s="24"/>
      <c r="D287" s="24"/>
      <c r="E287" s="24"/>
      <c r="F287" s="24"/>
    </row>
    <row r="288">
      <c r="A288" s="24"/>
      <c r="B288" s="24"/>
      <c r="C288" s="24"/>
      <c r="D288" s="24"/>
      <c r="E288" s="24"/>
      <c r="F288" s="24"/>
    </row>
    <row r="289">
      <c r="A289" s="24"/>
      <c r="B289" s="24"/>
      <c r="C289" s="24"/>
      <c r="D289" s="24"/>
      <c r="E289" s="24"/>
      <c r="F289" s="24"/>
    </row>
    <row r="290">
      <c r="A290" s="24"/>
      <c r="B290" s="24"/>
      <c r="C290" s="24"/>
      <c r="D290" s="24"/>
      <c r="E290" s="24"/>
      <c r="F290" s="24"/>
    </row>
    <row r="291">
      <c r="A291" s="24"/>
      <c r="B291" s="24"/>
      <c r="C291" s="24"/>
      <c r="D291" s="24"/>
      <c r="E291" s="24"/>
      <c r="F291" s="24"/>
    </row>
    <row r="292">
      <c r="A292" s="24"/>
      <c r="B292" s="24"/>
      <c r="C292" s="24"/>
      <c r="D292" s="24"/>
      <c r="E292" s="24"/>
      <c r="F292" s="24"/>
    </row>
    <row r="293">
      <c r="A293" s="24"/>
      <c r="B293" s="24"/>
      <c r="C293" s="24"/>
      <c r="D293" s="24"/>
      <c r="E293" s="24"/>
      <c r="F293" s="24"/>
    </row>
    <row r="294">
      <c r="A294" s="24"/>
      <c r="B294" s="24"/>
      <c r="C294" s="24"/>
      <c r="D294" s="24"/>
      <c r="E294" s="24"/>
      <c r="F294" s="24"/>
    </row>
    <row r="295">
      <c r="A295" s="24"/>
      <c r="B295" s="24"/>
      <c r="C295" s="24"/>
      <c r="D295" s="24"/>
      <c r="E295" s="24"/>
      <c r="F295" s="24"/>
    </row>
    <row r="296">
      <c r="A296" s="24"/>
      <c r="B296" s="24"/>
      <c r="C296" s="24"/>
      <c r="D296" s="24"/>
      <c r="E296" s="24"/>
      <c r="F296" s="24"/>
    </row>
    <row r="297">
      <c r="A297" s="24"/>
      <c r="B297" s="24"/>
      <c r="C297" s="24"/>
      <c r="D297" s="24"/>
      <c r="E297" s="24"/>
      <c r="F297" s="24"/>
    </row>
    <row r="298">
      <c r="A298" s="24"/>
      <c r="B298" s="24"/>
      <c r="C298" s="24"/>
      <c r="D298" s="24"/>
      <c r="E298" s="24"/>
      <c r="F298" s="24"/>
    </row>
    <row r="299">
      <c r="A299" s="24"/>
      <c r="B299" s="24"/>
      <c r="C299" s="24"/>
      <c r="D299" s="24"/>
      <c r="E299" s="24"/>
      <c r="F299" s="24"/>
    </row>
    <row r="300">
      <c r="A300" s="24"/>
      <c r="B300" s="24"/>
      <c r="C300" s="24"/>
      <c r="D300" s="24"/>
      <c r="E300" s="24"/>
      <c r="F300" s="24"/>
    </row>
    <row r="301">
      <c r="A301" s="24"/>
      <c r="B301" s="24"/>
      <c r="C301" s="24"/>
      <c r="D301" s="24"/>
      <c r="E301" s="24"/>
      <c r="F301" s="24"/>
    </row>
    <row r="302">
      <c r="A302" s="24"/>
      <c r="B302" s="24"/>
      <c r="C302" s="24"/>
      <c r="D302" s="24"/>
      <c r="E302" s="24"/>
      <c r="F302" s="24"/>
    </row>
    <row r="303">
      <c r="A303" s="24"/>
      <c r="B303" s="24"/>
      <c r="C303" s="24"/>
      <c r="D303" s="24"/>
      <c r="E303" s="24"/>
      <c r="F303" s="24"/>
    </row>
    <row r="304">
      <c r="A304" s="24"/>
      <c r="B304" s="24"/>
      <c r="C304" s="24"/>
      <c r="D304" s="24"/>
      <c r="E304" s="24"/>
      <c r="F304" s="24"/>
    </row>
    <row r="305">
      <c r="A305" s="24"/>
      <c r="B305" s="24"/>
      <c r="C305" s="24"/>
      <c r="D305" s="24"/>
      <c r="E305" s="24"/>
      <c r="F305" s="24"/>
    </row>
    <row r="306">
      <c r="A306" s="24"/>
      <c r="B306" s="24"/>
      <c r="C306" s="24"/>
      <c r="D306" s="24"/>
      <c r="E306" s="24"/>
      <c r="F306" s="24"/>
    </row>
    <row r="307">
      <c r="A307" s="24"/>
      <c r="B307" s="24"/>
      <c r="C307" s="24"/>
      <c r="D307" s="24"/>
      <c r="E307" s="24"/>
      <c r="F307" s="24"/>
    </row>
    <row r="308">
      <c r="A308" s="24"/>
      <c r="B308" s="24"/>
      <c r="C308" s="24"/>
      <c r="D308" s="24"/>
      <c r="E308" s="24"/>
      <c r="F308" s="24"/>
    </row>
    <row r="309">
      <c r="A309" s="24"/>
      <c r="B309" s="24"/>
      <c r="C309" s="24"/>
      <c r="D309" s="24"/>
      <c r="E309" s="24"/>
      <c r="F309" s="24"/>
    </row>
    <row r="310">
      <c r="A310" s="24"/>
      <c r="B310" s="24"/>
      <c r="C310" s="24"/>
      <c r="D310" s="24"/>
      <c r="E310" s="24"/>
      <c r="F310" s="24"/>
    </row>
    <row r="311">
      <c r="A311" s="24"/>
      <c r="B311" s="24"/>
      <c r="C311" s="24"/>
      <c r="D311" s="24"/>
      <c r="E311" s="24"/>
      <c r="F311" s="24"/>
    </row>
    <row r="312">
      <c r="A312" s="24"/>
      <c r="B312" s="24"/>
      <c r="C312" s="24"/>
      <c r="D312" s="24"/>
      <c r="E312" s="24"/>
      <c r="F312" s="24"/>
    </row>
    <row r="313">
      <c r="A313" s="24"/>
      <c r="B313" s="24"/>
      <c r="C313" s="24"/>
      <c r="D313" s="24"/>
      <c r="E313" s="24"/>
      <c r="F313" s="24"/>
    </row>
    <row r="314">
      <c r="A314" s="24"/>
      <c r="B314" s="24"/>
      <c r="C314" s="24"/>
      <c r="D314" s="24"/>
      <c r="E314" s="24"/>
      <c r="F314" s="24"/>
    </row>
    <row r="315">
      <c r="A315" s="24"/>
      <c r="B315" s="24"/>
      <c r="C315" s="24"/>
      <c r="D315" s="24"/>
      <c r="E315" s="24"/>
      <c r="F315" s="24"/>
    </row>
    <row r="316">
      <c r="A316" s="24"/>
      <c r="B316" s="24"/>
      <c r="C316" s="24"/>
      <c r="D316" s="24"/>
      <c r="E316" s="24"/>
      <c r="F316" s="24"/>
    </row>
    <row r="317">
      <c r="A317" s="24"/>
      <c r="B317" s="24"/>
      <c r="C317" s="24"/>
      <c r="D317" s="24"/>
      <c r="E317" s="24"/>
      <c r="F317" s="24"/>
    </row>
    <row r="318">
      <c r="A318" s="24"/>
      <c r="B318" s="24"/>
      <c r="C318" s="24"/>
      <c r="D318" s="24"/>
      <c r="E318" s="24"/>
      <c r="F318" s="24"/>
    </row>
    <row r="319">
      <c r="A319" s="24"/>
      <c r="B319" s="24"/>
      <c r="C319" s="24"/>
      <c r="D319" s="24"/>
      <c r="E319" s="24"/>
      <c r="F319" s="24"/>
    </row>
    <row r="320">
      <c r="A320" s="24"/>
      <c r="B320" s="24"/>
      <c r="C320" s="24"/>
      <c r="D320" s="24"/>
      <c r="E320" s="24"/>
      <c r="F320" s="24"/>
    </row>
    <row r="321">
      <c r="A321" s="24"/>
      <c r="B321" s="24"/>
      <c r="C321" s="24"/>
      <c r="D321" s="24"/>
      <c r="E321" s="24"/>
      <c r="F321" s="24"/>
    </row>
    <row r="322">
      <c r="A322" s="24"/>
      <c r="B322" s="24"/>
      <c r="C322" s="24"/>
      <c r="D322" s="24"/>
      <c r="E322" s="24"/>
      <c r="F322" s="24"/>
    </row>
    <row r="323">
      <c r="A323" s="24"/>
      <c r="B323" s="24"/>
      <c r="C323" s="24"/>
      <c r="D323" s="24"/>
      <c r="E323" s="24"/>
      <c r="F323" s="24"/>
    </row>
    <row r="324">
      <c r="A324" s="24"/>
      <c r="B324" s="24"/>
      <c r="C324" s="24"/>
      <c r="D324" s="24"/>
      <c r="E324" s="24"/>
      <c r="F324" s="24"/>
    </row>
    <row r="325">
      <c r="A325" s="24"/>
      <c r="B325" s="24"/>
      <c r="C325" s="24"/>
      <c r="D325" s="24"/>
      <c r="E325" s="24"/>
      <c r="F325" s="24"/>
    </row>
    <row r="326">
      <c r="A326" s="24"/>
      <c r="B326" s="24"/>
      <c r="C326" s="24"/>
      <c r="D326" s="24"/>
      <c r="E326" s="24"/>
      <c r="F326" s="24"/>
    </row>
    <row r="327">
      <c r="A327" s="24"/>
      <c r="B327" s="24"/>
      <c r="C327" s="24"/>
      <c r="D327" s="24"/>
      <c r="E327" s="24"/>
      <c r="F327" s="24"/>
    </row>
    <row r="328">
      <c r="A328" s="24"/>
      <c r="B328" s="24"/>
      <c r="C328" s="24"/>
      <c r="D328" s="24"/>
      <c r="E328" s="24"/>
      <c r="F328" s="24"/>
    </row>
    <row r="329">
      <c r="A329" s="24"/>
      <c r="B329" s="24"/>
      <c r="C329" s="24"/>
      <c r="D329" s="24"/>
      <c r="E329" s="24"/>
      <c r="F329" s="24"/>
    </row>
    <row r="330">
      <c r="A330" s="24"/>
      <c r="B330" s="24"/>
      <c r="C330" s="24"/>
      <c r="D330" s="24"/>
      <c r="E330" s="24"/>
      <c r="F330" s="24"/>
    </row>
    <row r="331">
      <c r="A331" s="24"/>
      <c r="B331" s="24"/>
      <c r="C331" s="24"/>
      <c r="D331" s="24"/>
      <c r="E331" s="24"/>
      <c r="F331" s="24"/>
    </row>
    <row r="332">
      <c r="A332" s="24"/>
      <c r="B332" s="24"/>
      <c r="C332" s="24"/>
      <c r="D332" s="24"/>
      <c r="E332" s="24"/>
      <c r="F332" s="24"/>
    </row>
    <row r="333">
      <c r="A333" s="24"/>
      <c r="B333" s="24"/>
      <c r="C333" s="24"/>
      <c r="D333" s="24"/>
      <c r="E333" s="24"/>
      <c r="F333" s="24"/>
    </row>
    <row r="334">
      <c r="A334" s="24"/>
      <c r="B334" s="24"/>
      <c r="C334" s="24"/>
      <c r="D334" s="24"/>
      <c r="E334" s="24"/>
      <c r="F334" s="24"/>
    </row>
    <row r="335">
      <c r="A335" s="24"/>
      <c r="B335" s="24"/>
      <c r="C335" s="24"/>
      <c r="D335" s="24"/>
      <c r="E335" s="24"/>
      <c r="F335" s="24"/>
    </row>
    <row r="336">
      <c r="A336" s="24"/>
      <c r="B336" s="24"/>
      <c r="C336" s="24"/>
      <c r="D336" s="24"/>
      <c r="E336" s="24"/>
      <c r="F336" s="24"/>
    </row>
    <row r="337">
      <c r="A337" s="24"/>
      <c r="B337" s="24"/>
      <c r="C337" s="24"/>
      <c r="D337" s="24"/>
      <c r="E337" s="24"/>
      <c r="F337" s="24"/>
    </row>
    <row r="338">
      <c r="A338" s="24"/>
      <c r="B338" s="24"/>
      <c r="C338" s="24"/>
      <c r="D338" s="24"/>
      <c r="E338" s="24"/>
      <c r="F338" s="24"/>
    </row>
    <row r="339">
      <c r="A339" s="24"/>
      <c r="B339" s="24"/>
      <c r="C339" s="24"/>
      <c r="D339" s="24"/>
      <c r="E339" s="24"/>
      <c r="F339" s="24"/>
    </row>
    <row r="340">
      <c r="A340" s="24"/>
      <c r="B340" s="24"/>
      <c r="C340" s="24"/>
      <c r="D340" s="24"/>
      <c r="E340" s="24"/>
      <c r="F340" s="24"/>
    </row>
    <row r="341">
      <c r="A341" s="24"/>
      <c r="B341" s="24"/>
      <c r="C341" s="24"/>
      <c r="D341" s="24"/>
      <c r="E341" s="24"/>
      <c r="F341" s="24"/>
    </row>
    <row r="342">
      <c r="A342" s="24"/>
      <c r="B342" s="24"/>
      <c r="C342" s="24"/>
      <c r="D342" s="24"/>
      <c r="E342" s="24"/>
      <c r="F342" s="24"/>
    </row>
    <row r="343">
      <c r="A343" s="24"/>
      <c r="B343" s="24"/>
      <c r="C343" s="24"/>
      <c r="D343" s="24"/>
      <c r="E343" s="24"/>
      <c r="F343" s="24"/>
    </row>
    <row r="344">
      <c r="A344" s="24"/>
      <c r="B344" s="24"/>
      <c r="C344" s="24"/>
      <c r="D344" s="24"/>
      <c r="E344" s="24"/>
      <c r="F344" s="24"/>
    </row>
    <row r="345">
      <c r="A345" s="24"/>
      <c r="B345" s="24"/>
      <c r="C345" s="24"/>
      <c r="D345" s="24"/>
      <c r="E345" s="24"/>
      <c r="F345" s="24"/>
    </row>
    <row r="346">
      <c r="A346" s="24"/>
      <c r="B346" s="24"/>
      <c r="C346" s="24"/>
      <c r="D346" s="24"/>
      <c r="E346" s="24"/>
      <c r="F346" s="24"/>
    </row>
    <row r="347">
      <c r="A347" s="24"/>
      <c r="B347" s="24"/>
      <c r="C347" s="24"/>
      <c r="D347" s="24"/>
      <c r="E347" s="24"/>
      <c r="F347" s="24"/>
    </row>
    <row r="348">
      <c r="A348" s="24"/>
      <c r="B348" s="24"/>
      <c r="C348" s="24"/>
      <c r="D348" s="24"/>
      <c r="E348" s="24"/>
      <c r="F348" s="24"/>
    </row>
    <row r="349">
      <c r="A349" s="24"/>
      <c r="B349" s="24"/>
      <c r="C349" s="24"/>
      <c r="D349" s="24"/>
      <c r="E349" s="24"/>
      <c r="F349" s="24"/>
    </row>
    <row r="350">
      <c r="A350" s="24"/>
      <c r="B350" s="24"/>
      <c r="C350" s="24"/>
      <c r="D350" s="24"/>
      <c r="E350" s="24"/>
      <c r="F350" s="24"/>
    </row>
    <row r="351">
      <c r="A351" s="24"/>
      <c r="B351" s="24"/>
      <c r="C351" s="24"/>
      <c r="D351" s="24"/>
      <c r="E351" s="24"/>
      <c r="F351" s="24"/>
    </row>
    <row r="352">
      <c r="A352" s="24"/>
      <c r="B352" s="24"/>
      <c r="C352" s="24"/>
      <c r="D352" s="24"/>
      <c r="E352" s="24"/>
      <c r="F352" s="24"/>
    </row>
    <row r="353">
      <c r="A353" s="24"/>
      <c r="B353" s="24"/>
      <c r="C353" s="24"/>
      <c r="D353" s="24"/>
      <c r="E353" s="24"/>
      <c r="F353" s="24"/>
    </row>
    <row r="354">
      <c r="A354" s="24"/>
      <c r="B354" s="24"/>
      <c r="C354" s="24"/>
      <c r="D354" s="24"/>
      <c r="E354" s="24"/>
      <c r="F354" s="24"/>
    </row>
    <row r="355">
      <c r="A355" s="24"/>
      <c r="B355" s="24"/>
      <c r="C355" s="24"/>
      <c r="D355" s="24"/>
      <c r="E355" s="24"/>
      <c r="F355" s="24"/>
    </row>
    <row r="356">
      <c r="A356" s="24"/>
      <c r="B356" s="24"/>
      <c r="C356" s="24"/>
      <c r="D356" s="24"/>
      <c r="E356" s="24"/>
      <c r="F356" s="24"/>
    </row>
    <row r="357">
      <c r="A357" s="24"/>
      <c r="B357" s="24"/>
      <c r="C357" s="24"/>
      <c r="D357" s="24"/>
      <c r="E357" s="24"/>
      <c r="F357" s="24"/>
    </row>
    <row r="358">
      <c r="A358" s="24"/>
      <c r="B358" s="24"/>
      <c r="C358" s="24"/>
      <c r="D358" s="24"/>
      <c r="E358" s="24"/>
      <c r="F358" s="24"/>
    </row>
    <row r="359">
      <c r="A359" s="24"/>
      <c r="B359" s="24"/>
      <c r="C359" s="24"/>
      <c r="D359" s="24"/>
      <c r="E359" s="24"/>
      <c r="F359" s="24"/>
    </row>
    <row r="360">
      <c r="A360" s="24"/>
      <c r="B360" s="24"/>
      <c r="C360" s="24"/>
      <c r="D360" s="24"/>
      <c r="E360" s="24"/>
      <c r="F360" s="24"/>
    </row>
    <row r="361">
      <c r="A361" s="24"/>
      <c r="B361" s="24"/>
      <c r="C361" s="24"/>
      <c r="D361" s="24"/>
      <c r="E361" s="24"/>
      <c r="F361" s="24"/>
    </row>
    <row r="362">
      <c r="A362" s="24"/>
      <c r="B362" s="24"/>
      <c r="C362" s="24"/>
      <c r="D362" s="24"/>
      <c r="E362" s="24"/>
      <c r="F362" s="24"/>
    </row>
    <row r="363">
      <c r="A363" s="24"/>
      <c r="B363" s="24"/>
      <c r="C363" s="24"/>
      <c r="D363" s="24"/>
      <c r="E363" s="24"/>
      <c r="F363" s="24"/>
    </row>
    <row r="364">
      <c r="A364" s="24"/>
      <c r="B364" s="24"/>
      <c r="C364" s="24"/>
      <c r="D364" s="24"/>
      <c r="E364" s="24"/>
      <c r="F364" s="24"/>
    </row>
    <row r="365">
      <c r="A365" s="24"/>
      <c r="B365" s="24"/>
      <c r="C365" s="24"/>
      <c r="D365" s="24"/>
      <c r="E365" s="24"/>
      <c r="F365" s="24"/>
    </row>
    <row r="366">
      <c r="A366" s="24"/>
      <c r="B366" s="24"/>
      <c r="C366" s="24"/>
      <c r="D366" s="24"/>
      <c r="E366" s="24"/>
      <c r="F366" s="24"/>
    </row>
    <row r="367">
      <c r="A367" s="24"/>
      <c r="B367" s="24"/>
      <c r="C367" s="24"/>
      <c r="D367" s="24"/>
      <c r="E367" s="24"/>
      <c r="F367" s="24"/>
    </row>
    <row r="368">
      <c r="A368" s="24"/>
      <c r="B368" s="24"/>
      <c r="C368" s="24"/>
      <c r="D368" s="24"/>
      <c r="E368" s="24"/>
      <c r="F368" s="24"/>
    </row>
    <row r="369">
      <c r="A369" s="24"/>
      <c r="B369" s="24"/>
      <c r="C369" s="24"/>
      <c r="D369" s="24"/>
      <c r="E369" s="24"/>
      <c r="F369" s="24"/>
    </row>
    <row r="370">
      <c r="A370" s="24"/>
      <c r="B370" s="24"/>
      <c r="C370" s="24"/>
      <c r="D370" s="24"/>
      <c r="E370" s="24"/>
      <c r="F370" s="24"/>
    </row>
    <row r="371">
      <c r="A371" s="24"/>
      <c r="B371" s="24"/>
      <c r="C371" s="24"/>
      <c r="D371" s="24"/>
      <c r="E371" s="24"/>
      <c r="F371" s="24"/>
    </row>
    <row r="372">
      <c r="A372" s="24"/>
      <c r="B372" s="24"/>
      <c r="C372" s="24"/>
      <c r="D372" s="24"/>
      <c r="E372" s="24"/>
      <c r="F372" s="24"/>
    </row>
    <row r="373">
      <c r="A373" s="24"/>
      <c r="B373" s="24"/>
      <c r="C373" s="24"/>
      <c r="D373" s="24"/>
      <c r="E373" s="24"/>
      <c r="F373" s="24"/>
    </row>
    <row r="374">
      <c r="A374" s="24"/>
      <c r="B374" s="24"/>
      <c r="C374" s="24"/>
      <c r="D374" s="24"/>
      <c r="E374" s="24"/>
      <c r="F374" s="24"/>
    </row>
    <row r="375">
      <c r="A375" s="24"/>
      <c r="B375" s="24"/>
      <c r="C375" s="24"/>
      <c r="D375" s="24"/>
      <c r="E375" s="24"/>
      <c r="F375" s="24"/>
    </row>
    <row r="376">
      <c r="A376" s="24"/>
      <c r="B376" s="24"/>
      <c r="C376" s="24"/>
      <c r="D376" s="24"/>
      <c r="E376" s="24"/>
      <c r="F376" s="24"/>
    </row>
    <row r="377">
      <c r="A377" s="24"/>
      <c r="B377" s="24"/>
      <c r="C377" s="24"/>
      <c r="D377" s="24"/>
      <c r="E377" s="24"/>
      <c r="F377" s="24"/>
    </row>
    <row r="378">
      <c r="A378" s="24"/>
      <c r="B378" s="24"/>
      <c r="C378" s="24"/>
      <c r="D378" s="24"/>
      <c r="E378" s="24"/>
      <c r="F378" s="24"/>
    </row>
    <row r="379">
      <c r="A379" s="24"/>
      <c r="B379" s="24"/>
      <c r="C379" s="24"/>
      <c r="D379" s="24"/>
      <c r="E379" s="24"/>
      <c r="F379" s="24"/>
    </row>
    <row r="380">
      <c r="A380" s="24"/>
      <c r="B380" s="24"/>
      <c r="C380" s="24"/>
      <c r="D380" s="24"/>
      <c r="E380" s="24"/>
      <c r="F380" s="24"/>
    </row>
    <row r="381">
      <c r="A381" s="24"/>
      <c r="B381" s="24"/>
      <c r="C381" s="24"/>
      <c r="D381" s="24"/>
      <c r="E381" s="24"/>
      <c r="F381" s="24"/>
    </row>
    <row r="382">
      <c r="A382" s="24"/>
      <c r="B382" s="24"/>
      <c r="C382" s="24"/>
      <c r="D382" s="24"/>
      <c r="E382" s="24"/>
      <c r="F382" s="24"/>
    </row>
    <row r="383">
      <c r="A383" s="24"/>
      <c r="B383" s="24"/>
      <c r="C383" s="24"/>
      <c r="D383" s="24"/>
      <c r="E383" s="24"/>
      <c r="F383" s="24"/>
    </row>
    <row r="384">
      <c r="A384" s="24"/>
      <c r="B384" s="24"/>
      <c r="C384" s="24"/>
      <c r="D384" s="24"/>
      <c r="E384" s="24"/>
      <c r="F384" s="24"/>
    </row>
    <row r="385">
      <c r="A385" s="24"/>
      <c r="B385" s="24"/>
      <c r="C385" s="24"/>
      <c r="D385" s="24"/>
      <c r="E385" s="24"/>
      <c r="F385" s="24"/>
    </row>
    <row r="386">
      <c r="A386" s="24"/>
      <c r="B386" s="24"/>
      <c r="C386" s="24"/>
      <c r="D386" s="24"/>
      <c r="E386" s="24"/>
      <c r="F386" s="24"/>
    </row>
    <row r="387">
      <c r="A387" s="24"/>
      <c r="B387" s="24"/>
      <c r="C387" s="24"/>
      <c r="D387" s="24"/>
      <c r="E387" s="24"/>
      <c r="F387" s="24"/>
    </row>
    <row r="388">
      <c r="A388" s="24"/>
      <c r="B388" s="24"/>
      <c r="C388" s="24"/>
      <c r="D388" s="24"/>
      <c r="E388" s="24"/>
      <c r="F388" s="24"/>
    </row>
    <row r="389">
      <c r="A389" s="24"/>
      <c r="B389" s="24"/>
      <c r="C389" s="24"/>
      <c r="D389" s="24"/>
      <c r="E389" s="24"/>
      <c r="F389" s="24"/>
    </row>
    <row r="390">
      <c r="A390" s="24"/>
      <c r="B390" s="24"/>
      <c r="C390" s="24"/>
      <c r="D390" s="24"/>
      <c r="E390" s="24"/>
      <c r="F390" s="24"/>
    </row>
    <row r="391">
      <c r="A391" s="24"/>
      <c r="B391" s="24"/>
      <c r="C391" s="24"/>
      <c r="D391" s="24"/>
      <c r="E391" s="24"/>
      <c r="F391" s="24"/>
    </row>
    <row r="392">
      <c r="A392" s="24"/>
      <c r="B392" s="24"/>
      <c r="C392" s="24"/>
      <c r="D392" s="24"/>
      <c r="E392" s="24"/>
      <c r="F392" s="24"/>
    </row>
    <row r="393">
      <c r="A393" s="24"/>
      <c r="B393" s="24"/>
      <c r="C393" s="24"/>
      <c r="D393" s="24"/>
      <c r="E393" s="24"/>
      <c r="F393" s="24"/>
    </row>
    <row r="394">
      <c r="A394" s="24"/>
      <c r="B394" s="24"/>
      <c r="C394" s="24"/>
      <c r="D394" s="24"/>
      <c r="E394" s="24"/>
      <c r="F394" s="24"/>
    </row>
    <row r="395">
      <c r="A395" s="24"/>
      <c r="B395" s="24"/>
      <c r="C395" s="24"/>
      <c r="D395" s="24"/>
      <c r="E395" s="24"/>
      <c r="F395" s="24"/>
    </row>
    <row r="396">
      <c r="A396" s="24"/>
      <c r="B396" s="24"/>
      <c r="C396" s="24"/>
      <c r="D396" s="24"/>
      <c r="E396" s="24"/>
      <c r="F396" s="24"/>
    </row>
    <row r="397">
      <c r="A397" s="24"/>
      <c r="B397" s="24"/>
      <c r="C397" s="24"/>
      <c r="D397" s="24"/>
      <c r="E397" s="24"/>
      <c r="F397" s="24"/>
    </row>
    <row r="398">
      <c r="A398" s="24"/>
      <c r="B398" s="24"/>
      <c r="C398" s="24"/>
      <c r="D398" s="24"/>
      <c r="E398" s="24"/>
      <c r="F398" s="24"/>
    </row>
    <row r="399">
      <c r="A399" s="24"/>
      <c r="B399" s="24"/>
      <c r="C399" s="24"/>
      <c r="D399" s="24"/>
      <c r="E399" s="24"/>
      <c r="F399" s="24"/>
    </row>
    <row r="400">
      <c r="A400" s="24"/>
      <c r="B400" s="24"/>
      <c r="C400" s="24"/>
      <c r="D400" s="24"/>
      <c r="E400" s="24"/>
      <c r="F400" s="24"/>
    </row>
    <row r="401">
      <c r="A401" s="24"/>
      <c r="B401" s="24"/>
      <c r="C401" s="24"/>
      <c r="D401" s="24"/>
      <c r="E401" s="24"/>
      <c r="F401" s="24"/>
    </row>
    <row r="402">
      <c r="A402" s="24"/>
      <c r="B402" s="24"/>
      <c r="C402" s="24"/>
      <c r="D402" s="24"/>
      <c r="E402" s="24"/>
      <c r="F402" s="24"/>
    </row>
    <row r="403">
      <c r="A403" s="24"/>
      <c r="B403" s="24"/>
      <c r="C403" s="24"/>
      <c r="D403" s="24"/>
      <c r="E403" s="24"/>
      <c r="F403" s="24"/>
    </row>
    <row r="404">
      <c r="A404" s="24"/>
      <c r="B404" s="24"/>
      <c r="C404" s="24"/>
      <c r="D404" s="24"/>
      <c r="E404" s="24"/>
      <c r="F404" s="24"/>
    </row>
    <row r="405">
      <c r="A405" s="24"/>
      <c r="B405" s="24"/>
      <c r="C405" s="24"/>
      <c r="D405" s="24"/>
      <c r="E405" s="24"/>
      <c r="F405" s="24"/>
    </row>
    <row r="406">
      <c r="A406" s="24"/>
      <c r="B406" s="24"/>
      <c r="C406" s="24"/>
      <c r="D406" s="24"/>
      <c r="E406" s="24"/>
      <c r="F406" s="24"/>
    </row>
    <row r="407">
      <c r="A407" s="24"/>
      <c r="B407" s="24"/>
      <c r="C407" s="24"/>
      <c r="D407" s="24"/>
      <c r="E407" s="24"/>
      <c r="F407" s="24"/>
    </row>
    <row r="408">
      <c r="A408" s="24"/>
      <c r="B408" s="24"/>
      <c r="C408" s="24"/>
      <c r="D408" s="24"/>
      <c r="E408" s="24"/>
      <c r="F408" s="24"/>
    </row>
    <row r="409">
      <c r="A409" s="24"/>
      <c r="B409" s="24"/>
      <c r="C409" s="24"/>
      <c r="D409" s="24"/>
      <c r="E409" s="24"/>
      <c r="F409" s="24"/>
    </row>
    <row r="410">
      <c r="A410" s="24"/>
      <c r="B410" s="24"/>
      <c r="C410" s="24"/>
      <c r="D410" s="24"/>
      <c r="E410" s="24"/>
      <c r="F410" s="24"/>
    </row>
    <row r="411">
      <c r="A411" s="24"/>
      <c r="B411" s="24"/>
      <c r="C411" s="24"/>
      <c r="D411" s="24"/>
      <c r="E411" s="24"/>
      <c r="F411" s="24"/>
    </row>
    <row r="412">
      <c r="A412" s="24"/>
      <c r="B412" s="24"/>
      <c r="C412" s="24"/>
      <c r="D412" s="24"/>
      <c r="E412" s="24"/>
      <c r="F412" s="24"/>
    </row>
    <row r="413">
      <c r="A413" s="24"/>
      <c r="B413" s="24"/>
      <c r="C413" s="24"/>
      <c r="D413" s="24"/>
      <c r="E413" s="24"/>
      <c r="F413" s="24"/>
    </row>
    <row r="414">
      <c r="A414" s="24"/>
      <c r="B414" s="24"/>
      <c r="C414" s="24"/>
      <c r="D414" s="24"/>
      <c r="E414" s="24"/>
      <c r="F414" s="24"/>
    </row>
    <row r="415">
      <c r="A415" s="24"/>
      <c r="B415" s="24"/>
      <c r="C415" s="24"/>
      <c r="D415" s="24"/>
      <c r="E415" s="24"/>
      <c r="F415" s="24"/>
    </row>
    <row r="416">
      <c r="A416" s="24"/>
      <c r="B416" s="24"/>
      <c r="C416" s="24"/>
      <c r="D416" s="24"/>
      <c r="E416" s="24"/>
      <c r="F416" s="24"/>
    </row>
    <row r="417">
      <c r="A417" s="24"/>
      <c r="B417" s="24"/>
      <c r="C417" s="24"/>
      <c r="D417" s="24"/>
      <c r="E417" s="24"/>
      <c r="F417" s="24"/>
    </row>
    <row r="418">
      <c r="A418" s="24"/>
      <c r="B418" s="24"/>
      <c r="C418" s="24"/>
      <c r="D418" s="24"/>
      <c r="E418" s="24"/>
      <c r="F418" s="24"/>
    </row>
    <row r="419">
      <c r="A419" s="24"/>
      <c r="B419" s="24"/>
      <c r="C419" s="24"/>
      <c r="D419" s="24"/>
      <c r="E419" s="24"/>
      <c r="F419" s="24"/>
    </row>
    <row r="420">
      <c r="A420" s="24"/>
      <c r="B420" s="24"/>
      <c r="C420" s="24"/>
      <c r="D420" s="24"/>
      <c r="E420" s="24"/>
      <c r="F420" s="24"/>
    </row>
    <row r="421">
      <c r="A421" s="24"/>
      <c r="B421" s="24"/>
      <c r="C421" s="24"/>
      <c r="D421" s="24"/>
      <c r="E421" s="24"/>
      <c r="F421" s="24"/>
    </row>
    <row r="422">
      <c r="A422" s="24"/>
      <c r="B422" s="24"/>
      <c r="C422" s="24"/>
      <c r="D422" s="24"/>
      <c r="E422" s="24"/>
      <c r="F422" s="24"/>
    </row>
    <row r="423">
      <c r="A423" s="24"/>
      <c r="B423" s="24"/>
      <c r="C423" s="24"/>
      <c r="D423" s="24"/>
      <c r="E423" s="24"/>
      <c r="F423" s="24"/>
    </row>
    <row r="424">
      <c r="A424" s="24"/>
      <c r="B424" s="24"/>
      <c r="C424" s="24"/>
      <c r="D424" s="24"/>
      <c r="E424" s="24"/>
      <c r="F424" s="24"/>
    </row>
    <row r="425">
      <c r="A425" s="24"/>
      <c r="B425" s="24"/>
      <c r="C425" s="24"/>
      <c r="D425" s="24"/>
      <c r="E425" s="24"/>
      <c r="F425" s="24"/>
    </row>
    <row r="426">
      <c r="A426" s="24"/>
      <c r="B426" s="24"/>
      <c r="C426" s="24"/>
      <c r="D426" s="24"/>
      <c r="E426" s="24"/>
      <c r="F426" s="24"/>
    </row>
    <row r="427">
      <c r="A427" s="24"/>
      <c r="B427" s="24"/>
      <c r="C427" s="24"/>
      <c r="D427" s="24"/>
      <c r="E427" s="24"/>
      <c r="F427" s="24"/>
    </row>
    <row r="428">
      <c r="A428" s="24"/>
      <c r="B428" s="24"/>
      <c r="C428" s="24"/>
      <c r="D428" s="24"/>
      <c r="E428" s="24"/>
      <c r="F428" s="24"/>
    </row>
    <row r="429">
      <c r="A429" s="24"/>
      <c r="B429" s="24"/>
      <c r="C429" s="24"/>
      <c r="D429" s="24"/>
      <c r="E429" s="24"/>
      <c r="F429" s="24"/>
    </row>
    <row r="430">
      <c r="A430" s="24"/>
      <c r="B430" s="24"/>
      <c r="C430" s="24"/>
      <c r="D430" s="24"/>
      <c r="E430" s="24"/>
      <c r="F430" s="24"/>
    </row>
    <row r="431">
      <c r="A431" s="24"/>
      <c r="B431" s="24"/>
      <c r="C431" s="24"/>
      <c r="D431" s="24"/>
      <c r="E431" s="24"/>
      <c r="F431" s="24"/>
    </row>
    <row r="432">
      <c r="A432" s="24"/>
      <c r="B432" s="24"/>
      <c r="C432" s="24"/>
      <c r="D432" s="24"/>
      <c r="E432" s="24"/>
      <c r="F432" s="24"/>
    </row>
    <row r="433">
      <c r="A433" s="24"/>
      <c r="B433" s="24"/>
      <c r="C433" s="24"/>
      <c r="D433" s="24"/>
      <c r="E433" s="24"/>
      <c r="F433" s="24"/>
    </row>
    <row r="434">
      <c r="A434" s="24"/>
      <c r="B434" s="24"/>
      <c r="C434" s="24"/>
      <c r="D434" s="24"/>
      <c r="E434" s="24"/>
      <c r="F434" s="24"/>
    </row>
    <row r="435">
      <c r="A435" s="24"/>
      <c r="B435" s="24"/>
      <c r="C435" s="24"/>
      <c r="D435" s="24"/>
      <c r="E435" s="24"/>
      <c r="F435" s="24"/>
    </row>
    <row r="436">
      <c r="A436" s="24"/>
      <c r="B436" s="24"/>
      <c r="C436" s="24"/>
      <c r="D436" s="24"/>
      <c r="E436" s="24"/>
      <c r="F436" s="24"/>
    </row>
    <row r="437">
      <c r="A437" s="24"/>
      <c r="B437" s="24"/>
      <c r="C437" s="24"/>
      <c r="D437" s="24"/>
      <c r="E437" s="24"/>
      <c r="F437" s="24"/>
    </row>
    <row r="438">
      <c r="A438" s="24"/>
      <c r="B438" s="24"/>
      <c r="C438" s="24"/>
      <c r="D438" s="24"/>
      <c r="E438" s="24"/>
      <c r="F438" s="24"/>
    </row>
    <row r="439">
      <c r="A439" s="24"/>
      <c r="B439" s="24"/>
      <c r="C439" s="24"/>
      <c r="D439" s="24"/>
      <c r="E439" s="24"/>
      <c r="F439" s="24"/>
    </row>
    <row r="440">
      <c r="A440" s="24"/>
      <c r="B440" s="24"/>
      <c r="C440" s="24"/>
      <c r="D440" s="24"/>
      <c r="E440" s="24"/>
      <c r="F440" s="24"/>
    </row>
    <row r="441">
      <c r="A441" s="24"/>
      <c r="B441" s="24"/>
      <c r="C441" s="24"/>
      <c r="D441" s="24"/>
      <c r="E441" s="24"/>
      <c r="F441" s="24"/>
    </row>
    <row r="442">
      <c r="A442" s="24"/>
      <c r="B442" s="24"/>
      <c r="C442" s="24"/>
      <c r="D442" s="24"/>
      <c r="E442" s="24"/>
      <c r="F442" s="24"/>
    </row>
    <row r="443">
      <c r="A443" s="24"/>
      <c r="B443" s="24"/>
      <c r="C443" s="24"/>
      <c r="D443" s="24"/>
      <c r="E443" s="24"/>
      <c r="F443" s="24"/>
    </row>
    <row r="444">
      <c r="A444" s="24"/>
      <c r="B444" s="24"/>
      <c r="C444" s="24"/>
      <c r="D444" s="24"/>
      <c r="E444" s="24"/>
      <c r="F444" s="24"/>
    </row>
    <row r="445">
      <c r="A445" s="24"/>
      <c r="B445" s="24"/>
      <c r="C445" s="24"/>
      <c r="D445" s="24"/>
      <c r="E445" s="24"/>
      <c r="F445" s="24"/>
    </row>
    <row r="446">
      <c r="A446" s="24"/>
      <c r="B446" s="24"/>
      <c r="C446" s="24"/>
      <c r="D446" s="24"/>
      <c r="E446" s="24"/>
      <c r="F446" s="24"/>
    </row>
    <row r="447">
      <c r="A447" s="24"/>
      <c r="B447" s="24"/>
      <c r="C447" s="24"/>
      <c r="D447" s="24"/>
      <c r="E447" s="24"/>
      <c r="F447" s="24"/>
    </row>
    <row r="448">
      <c r="A448" s="24"/>
      <c r="B448" s="24"/>
      <c r="C448" s="24"/>
      <c r="D448" s="24"/>
      <c r="E448" s="24"/>
      <c r="F448" s="24"/>
    </row>
    <row r="449">
      <c r="A449" s="24"/>
      <c r="B449" s="24"/>
      <c r="C449" s="24"/>
      <c r="D449" s="24"/>
      <c r="E449" s="24"/>
      <c r="F449" s="24"/>
    </row>
    <row r="450">
      <c r="A450" s="24"/>
      <c r="B450" s="24"/>
      <c r="C450" s="24"/>
      <c r="D450" s="24"/>
      <c r="E450" s="24"/>
      <c r="F450" s="24"/>
    </row>
    <row r="451">
      <c r="A451" s="24"/>
      <c r="B451" s="24"/>
      <c r="C451" s="24"/>
      <c r="D451" s="24"/>
      <c r="E451" s="24"/>
      <c r="F451" s="24"/>
    </row>
    <row r="452">
      <c r="A452" s="24"/>
      <c r="B452" s="24"/>
      <c r="C452" s="24"/>
      <c r="D452" s="24"/>
      <c r="E452" s="24"/>
      <c r="F452" s="24"/>
    </row>
    <row r="453">
      <c r="A453" s="24"/>
      <c r="B453" s="24"/>
      <c r="C453" s="24"/>
      <c r="D453" s="24"/>
      <c r="E453" s="24"/>
      <c r="F453" s="24"/>
    </row>
    <row r="454">
      <c r="A454" s="24"/>
      <c r="B454" s="24"/>
      <c r="C454" s="24"/>
      <c r="D454" s="24"/>
      <c r="E454" s="24"/>
      <c r="F454" s="24"/>
    </row>
    <row r="455">
      <c r="A455" s="24"/>
      <c r="B455" s="24"/>
      <c r="C455" s="24"/>
      <c r="D455" s="24"/>
      <c r="E455" s="24"/>
      <c r="F455" s="24"/>
    </row>
    <row r="456">
      <c r="A456" s="24"/>
      <c r="B456" s="24"/>
      <c r="C456" s="24"/>
      <c r="D456" s="24"/>
      <c r="E456" s="24"/>
      <c r="F456" s="24"/>
    </row>
    <row r="457">
      <c r="A457" s="24"/>
      <c r="B457" s="24"/>
      <c r="C457" s="24"/>
      <c r="D457" s="24"/>
      <c r="E457" s="24"/>
      <c r="F457" s="24"/>
    </row>
    <row r="458">
      <c r="A458" s="24"/>
      <c r="B458" s="24"/>
      <c r="C458" s="24"/>
      <c r="D458" s="24"/>
      <c r="E458" s="24"/>
      <c r="F458" s="24"/>
    </row>
    <row r="459">
      <c r="A459" s="24"/>
      <c r="B459" s="24"/>
      <c r="C459" s="24"/>
      <c r="D459" s="24"/>
      <c r="E459" s="24"/>
      <c r="F459" s="24"/>
    </row>
    <row r="460">
      <c r="A460" s="24"/>
      <c r="B460" s="24"/>
      <c r="C460" s="24"/>
      <c r="D460" s="24"/>
      <c r="E460" s="24"/>
      <c r="F460" s="24"/>
    </row>
    <row r="461">
      <c r="A461" s="24"/>
      <c r="B461" s="24"/>
      <c r="C461" s="24"/>
      <c r="D461" s="24"/>
      <c r="E461" s="24"/>
      <c r="F461" s="24"/>
    </row>
    <row r="462">
      <c r="A462" s="24"/>
      <c r="B462" s="24"/>
      <c r="C462" s="24"/>
      <c r="D462" s="24"/>
      <c r="E462" s="24"/>
      <c r="F462" s="24"/>
    </row>
    <row r="463">
      <c r="A463" s="24"/>
      <c r="B463" s="24"/>
      <c r="C463" s="24"/>
      <c r="D463" s="24"/>
      <c r="E463" s="24"/>
      <c r="F463" s="24"/>
    </row>
    <row r="464">
      <c r="A464" s="24"/>
      <c r="B464" s="24"/>
      <c r="C464" s="24"/>
      <c r="D464" s="24"/>
      <c r="E464" s="24"/>
      <c r="F464" s="24"/>
    </row>
    <row r="465">
      <c r="A465" s="24"/>
      <c r="B465" s="24"/>
      <c r="C465" s="24"/>
      <c r="D465" s="24"/>
      <c r="E465" s="24"/>
      <c r="F465" s="24"/>
    </row>
    <row r="466">
      <c r="A466" s="24"/>
      <c r="B466" s="24"/>
      <c r="C466" s="24"/>
      <c r="D466" s="24"/>
      <c r="E466" s="24"/>
      <c r="F466" s="24"/>
    </row>
    <row r="467">
      <c r="A467" s="24"/>
      <c r="B467" s="24"/>
      <c r="C467" s="24"/>
      <c r="D467" s="24"/>
      <c r="E467" s="24"/>
      <c r="F467" s="24"/>
    </row>
    <row r="468">
      <c r="A468" s="24"/>
      <c r="B468" s="24"/>
      <c r="C468" s="24"/>
      <c r="D468" s="24"/>
      <c r="E468" s="24"/>
      <c r="F468" s="24"/>
    </row>
    <row r="469">
      <c r="A469" s="24"/>
      <c r="B469" s="24"/>
      <c r="C469" s="24"/>
      <c r="D469" s="24"/>
      <c r="E469" s="24"/>
      <c r="F469" s="24"/>
    </row>
    <row r="470">
      <c r="A470" s="24"/>
      <c r="B470" s="24"/>
      <c r="C470" s="24"/>
      <c r="D470" s="24"/>
      <c r="E470" s="24"/>
      <c r="F470" s="24"/>
    </row>
    <row r="471">
      <c r="A471" s="24"/>
      <c r="B471" s="24"/>
      <c r="C471" s="24"/>
      <c r="D471" s="24"/>
      <c r="E471" s="24"/>
      <c r="F471" s="24"/>
    </row>
    <row r="472">
      <c r="A472" s="24"/>
      <c r="B472" s="24"/>
      <c r="C472" s="24"/>
      <c r="D472" s="24"/>
      <c r="E472" s="24"/>
      <c r="F472" s="24"/>
    </row>
    <row r="473">
      <c r="A473" s="24"/>
      <c r="B473" s="24"/>
      <c r="C473" s="24"/>
      <c r="D473" s="24"/>
      <c r="E473" s="24"/>
      <c r="F473" s="24"/>
    </row>
    <row r="474">
      <c r="A474" s="24"/>
      <c r="B474" s="24"/>
      <c r="C474" s="24"/>
      <c r="D474" s="24"/>
      <c r="E474" s="24"/>
      <c r="F474" s="24"/>
    </row>
    <row r="475">
      <c r="A475" s="24"/>
      <c r="B475" s="24"/>
      <c r="C475" s="24"/>
      <c r="D475" s="24"/>
      <c r="E475" s="24"/>
      <c r="F475" s="24"/>
    </row>
    <row r="476">
      <c r="A476" s="24"/>
      <c r="B476" s="24"/>
      <c r="C476" s="24"/>
      <c r="D476" s="24"/>
      <c r="E476" s="24"/>
      <c r="F476" s="24"/>
    </row>
    <row r="477">
      <c r="A477" s="24"/>
      <c r="B477" s="24"/>
      <c r="C477" s="24"/>
      <c r="D477" s="24"/>
      <c r="E477" s="24"/>
      <c r="F477" s="24"/>
    </row>
    <row r="478">
      <c r="A478" s="24"/>
      <c r="B478" s="24"/>
      <c r="C478" s="24"/>
      <c r="D478" s="24"/>
      <c r="E478" s="24"/>
      <c r="F478" s="24"/>
    </row>
    <row r="479">
      <c r="A479" s="24"/>
      <c r="B479" s="24"/>
      <c r="C479" s="24"/>
      <c r="D479" s="24"/>
      <c r="E479" s="24"/>
      <c r="F479" s="24"/>
    </row>
    <row r="480">
      <c r="A480" s="24"/>
      <c r="B480" s="24"/>
      <c r="C480" s="24"/>
      <c r="D480" s="24"/>
      <c r="E480" s="24"/>
      <c r="F480" s="24"/>
    </row>
    <row r="481">
      <c r="A481" s="24"/>
      <c r="B481" s="24"/>
      <c r="C481" s="24"/>
      <c r="D481" s="24"/>
      <c r="E481" s="24"/>
      <c r="F481" s="24"/>
    </row>
    <row r="482">
      <c r="A482" s="24"/>
      <c r="B482" s="24"/>
      <c r="C482" s="24"/>
      <c r="D482" s="24"/>
      <c r="E482" s="24"/>
      <c r="F482" s="24"/>
    </row>
    <row r="483">
      <c r="A483" s="24"/>
      <c r="B483" s="24"/>
      <c r="C483" s="24"/>
      <c r="D483" s="24"/>
      <c r="E483" s="24"/>
      <c r="F483" s="24"/>
    </row>
    <row r="484">
      <c r="A484" s="24"/>
      <c r="B484" s="24"/>
      <c r="C484" s="24"/>
      <c r="D484" s="24"/>
      <c r="E484" s="24"/>
      <c r="F484" s="24"/>
    </row>
    <row r="485">
      <c r="A485" s="24"/>
      <c r="B485" s="24"/>
      <c r="C485" s="24"/>
      <c r="D485" s="24"/>
      <c r="E485" s="24"/>
      <c r="F485" s="24"/>
    </row>
    <row r="486">
      <c r="A486" s="24"/>
      <c r="B486" s="24"/>
      <c r="C486" s="24"/>
      <c r="D486" s="24"/>
      <c r="E486" s="24"/>
      <c r="F486" s="24"/>
    </row>
    <row r="487">
      <c r="A487" s="24"/>
      <c r="B487" s="24"/>
      <c r="C487" s="24"/>
      <c r="D487" s="24"/>
      <c r="E487" s="24"/>
      <c r="F487" s="24"/>
    </row>
    <row r="488">
      <c r="A488" s="24"/>
      <c r="B488" s="24"/>
      <c r="C488" s="24"/>
      <c r="D488" s="24"/>
      <c r="E488" s="24"/>
      <c r="F488" s="24"/>
    </row>
    <row r="489">
      <c r="A489" s="24"/>
      <c r="B489" s="24"/>
      <c r="C489" s="24"/>
      <c r="D489" s="24"/>
      <c r="E489" s="24"/>
      <c r="F489" s="24"/>
    </row>
    <row r="490">
      <c r="A490" s="24"/>
      <c r="B490" s="24"/>
      <c r="C490" s="24"/>
      <c r="D490" s="24"/>
      <c r="E490" s="24"/>
      <c r="F490" s="24"/>
    </row>
    <row r="491">
      <c r="A491" s="24"/>
      <c r="B491" s="24"/>
      <c r="C491" s="24"/>
      <c r="D491" s="24"/>
      <c r="E491" s="24"/>
      <c r="F491" s="24"/>
    </row>
    <row r="492">
      <c r="A492" s="24"/>
      <c r="B492" s="24"/>
      <c r="C492" s="24"/>
      <c r="D492" s="24"/>
      <c r="E492" s="24"/>
      <c r="F492" s="24"/>
    </row>
    <row r="493">
      <c r="A493" s="24"/>
      <c r="B493" s="24"/>
      <c r="C493" s="24"/>
      <c r="D493" s="24"/>
      <c r="E493" s="24"/>
      <c r="F493" s="24"/>
    </row>
    <row r="494">
      <c r="A494" s="24"/>
      <c r="B494" s="24"/>
      <c r="C494" s="24"/>
      <c r="D494" s="24"/>
      <c r="E494" s="24"/>
      <c r="F494" s="24"/>
    </row>
    <row r="495">
      <c r="A495" s="24"/>
      <c r="B495" s="24"/>
      <c r="C495" s="24"/>
      <c r="D495" s="24"/>
      <c r="E495" s="24"/>
      <c r="F495" s="24"/>
    </row>
    <row r="496">
      <c r="A496" s="24"/>
      <c r="B496" s="24"/>
      <c r="C496" s="24"/>
      <c r="D496" s="24"/>
      <c r="E496" s="24"/>
      <c r="F496" s="24"/>
    </row>
    <row r="497">
      <c r="A497" s="24"/>
      <c r="B497" s="24"/>
      <c r="C497" s="24"/>
      <c r="D497" s="24"/>
      <c r="E497" s="24"/>
      <c r="F497" s="24"/>
    </row>
    <row r="498">
      <c r="A498" s="24"/>
      <c r="B498" s="24"/>
      <c r="C498" s="24"/>
      <c r="D498" s="24"/>
      <c r="E498" s="24"/>
      <c r="F498" s="24"/>
    </row>
    <row r="499">
      <c r="A499" s="24"/>
      <c r="B499" s="24"/>
      <c r="C499" s="24"/>
      <c r="D499" s="24"/>
      <c r="E499" s="24"/>
      <c r="F499" s="24"/>
    </row>
    <row r="500">
      <c r="A500" s="24"/>
      <c r="B500" s="24"/>
      <c r="C500" s="24"/>
      <c r="D500" s="24"/>
      <c r="E500" s="24"/>
      <c r="F500" s="24"/>
    </row>
    <row r="501">
      <c r="A501" s="24"/>
      <c r="B501" s="24"/>
      <c r="C501" s="24"/>
      <c r="D501" s="24"/>
      <c r="E501" s="24"/>
      <c r="F501" s="24"/>
    </row>
    <row r="502">
      <c r="A502" s="24"/>
      <c r="B502" s="24"/>
      <c r="C502" s="24"/>
      <c r="D502" s="24"/>
      <c r="E502" s="24"/>
      <c r="F502" s="24"/>
    </row>
    <row r="503">
      <c r="A503" s="24"/>
      <c r="B503" s="24"/>
      <c r="C503" s="24"/>
      <c r="D503" s="24"/>
      <c r="E503" s="24"/>
      <c r="F503" s="24"/>
    </row>
    <row r="504">
      <c r="A504" s="24"/>
      <c r="B504" s="24"/>
      <c r="C504" s="24"/>
      <c r="D504" s="24"/>
      <c r="E504" s="24"/>
      <c r="F504" s="24"/>
    </row>
    <row r="505">
      <c r="A505" s="24"/>
      <c r="B505" s="24"/>
      <c r="C505" s="24"/>
      <c r="D505" s="24"/>
      <c r="E505" s="24"/>
      <c r="F505" s="24"/>
    </row>
    <row r="506">
      <c r="A506" s="24"/>
      <c r="B506" s="24"/>
      <c r="C506" s="24"/>
      <c r="D506" s="24"/>
      <c r="E506" s="24"/>
      <c r="F506" s="24"/>
    </row>
    <row r="507">
      <c r="A507" s="24"/>
      <c r="B507" s="24"/>
      <c r="C507" s="24"/>
      <c r="D507" s="24"/>
      <c r="E507" s="24"/>
      <c r="F507" s="24"/>
    </row>
    <row r="508">
      <c r="A508" s="24"/>
      <c r="B508" s="24"/>
      <c r="C508" s="24"/>
      <c r="D508" s="24"/>
      <c r="E508" s="24"/>
      <c r="F508" s="24"/>
    </row>
    <row r="509">
      <c r="A509" s="24"/>
      <c r="B509" s="24"/>
      <c r="C509" s="24"/>
      <c r="D509" s="24"/>
      <c r="E509" s="24"/>
      <c r="F509" s="24"/>
    </row>
    <row r="510">
      <c r="A510" s="24"/>
      <c r="B510" s="24"/>
      <c r="C510" s="24"/>
      <c r="D510" s="24"/>
      <c r="E510" s="24"/>
      <c r="F510" s="24"/>
    </row>
    <row r="511">
      <c r="A511" s="24"/>
      <c r="B511" s="24"/>
      <c r="C511" s="24"/>
      <c r="D511" s="24"/>
      <c r="E511" s="24"/>
      <c r="F511" s="24"/>
    </row>
    <row r="512">
      <c r="A512" s="24"/>
      <c r="B512" s="24"/>
      <c r="C512" s="24"/>
      <c r="D512" s="24"/>
      <c r="E512" s="24"/>
      <c r="F512" s="24"/>
    </row>
    <row r="513">
      <c r="A513" s="24"/>
      <c r="B513" s="24"/>
      <c r="C513" s="24"/>
      <c r="D513" s="24"/>
      <c r="E513" s="24"/>
      <c r="F513" s="24"/>
    </row>
    <row r="514">
      <c r="A514" s="24"/>
      <c r="B514" s="24"/>
      <c r="C514" s="24"/>
      <c r="D514" s="24"/>
      <c r="E514" s="24"/>
      <c r="F514" s="24"/>
    </row>
    <row r="515">
      <c r="A515" s="24"/>
      <c r="B515" s="24"/>
      <c r="C515" s="24"/>
      <c r="D515" s="24"/>
      <c r="E515" s="24"/>
      <c r="F515" s="24"/>
    </row>
    <row r="516">
      <c r="A516" s="24"/>
      <c r="B516" s="24"/>
      <c r="C516" s="24"/>
      <c r="D516" s="24"/>
      <c r="E516" s="24"/>
      <c r="F516" s="24"/>
    </row>
    <row r="517">
      <c r="A517" s="24"/>
      <c r="B517" s="24"/>
      <c r="C517" s="24"/>
      <c r="D517" s="24"/>
      <c r="E517" s="24"/>
      <c r="F517" s="24"/>
    </row>
    <row r="518">
      <c r="A518" s="24"/>
      <c r="B518" s="24"/>
      <c r="C518" s="24"/>
      <c r="D518" s="24"/>
      <c r="E518" s="24"/>
      <c r="F518" s="24"/>
    </row>
    <row r="519">
      <c r="A519" s="24"/>
      <c r="B519" s="24"/>
      <c r="C519" s="24"/>
      <c r="D519" s="24"/>
      <c r="E519" s="24"/>
      <c r="F519" s="24"/>
    </row>
    <row r="520">
      <c r="A520" s="24"/>
      <c r="B520" s="24"/>
      <c r="C520" s="24"/>
      <c r="D520" s="24"/>
      <c r="E520" s="24"/>
      <c r="F520" s="24"/>
    </row>
    <row r="521">
      <c r="A521" s="24"/>
      <c r="B521" s="24"/>
      <c r="C521" s="24"/>
      <c r="D521" s="24"/>
      <c r="E521" s="24"/>
      <c r="F521" s="24"/>
    </row>
    <row r="522">
      <c r="A522" s="24"/>
      <c r="B522" s="24"/>
      <c r="C522" s="24"/>
      <c r="D522" s="24"/>
      <c r="E522" s="24"/>
      <c r="F522" s="24"/>
    </row>
    <row r="523">
      <c r="A523" s="24"/>
      <c r="B523" s="24"/>
      <c r="C523" s="24"/>
      <c r="D523" s="24"/>
      <c r="E523" s="24"/>
      <c r="F523" s="24"/>
    </row>
    <row r="524">
      <c r="A524" s="24"/>
      <c r="B524" s="24"/>
      <c r="C524" s="24"/>
      <c r="D524" s="24"/>
      <c r="E524" s="24"/>
      <c r="F524" s="24"/>
    </row>
    <row r="525">
      <c r="A525" s="24"/>
      <c r="B525" s="24"/>
      <c r="C525" s="24"/>
      <c r="D525" s="24"/>
      <c r="E525" s="24"/>
      <c r="F525" s="24"/>
    </row>
    <row r="526">
      <c r="A526" s="24"/>
      <c r="B526" s="24"/>
      <c r="C526" s="24"/>
      <c r="D526" s="24"/>
      <c r="E526" s="24"/>
      <c r="F526" s="24"/>
    </row>
    <row r="527">
      <c r="A527" s="24"/>
      <c r="B527" s="24"/>
      <c r="C527" s="24"/>
      <c r="D527" s="24"/>
      <c r="E527" s="24"/>
      <c r="F527" s="24"/>
    </row>
    <row r="528">
      <c r="A528" s="24"/>
      <c r="B528" s="24"/>
      <c r="C528" s="24"/>
      <c r="D528" s="24"/>
      <c r="E528" s="24"/>
      <c r="F528" s="24"/>
    </row>
    <row r="529">
      <c r="A529" s="24"/>
      <c r="B529" s="24"/>
      <c r="C529" s="24"/>
      <c r="D529" s="24"/>
      <c r="E529" s="24"/>
      <c r="F529" s="24"/>
    </row>
    <row r="530">
      <c r="A530" s="24"/>
      <c r="B530" s="24"/>
      <c r="C530" s="24"/>
      <c r="D530" s="24"/>
      <c r="E530" s="24"/>
      <c r="F530" s="24"/>
    </row>
    <row r="531">
      <c r="A531" s="24"/>
      <c r="B531" s="24"/>
      <c r="C531" s="24"/>
      <c r="D531" s="24"/>
      <c r="E531" s="24"/>
      <c r="F531" s="24"/>
    </row>
    <row r="532">
      <c r="A532" s="24"/>
      <c r="B532" s="24"/>
      <c r="C532" s="24"/>
      <c r="D532" s="24"/>
      <c r="E532" s="24"/>
      <c r="F532" s="24"/>
    </row>
    <row r="533">
      <c r="A533" s="24"/>
      <c r="B533" s="24"/>
      <c r="C533" s="24"/>
      <c r="D533" s="24"/>
      <c r="E533" s="24"/>
      <c r="F533" s="24"/>
    </row>
    <row r="534">
      <c r="A534" s="24"/>
      <c r="B534" s="24"/>
      <c r="C534" s="24"/>
      <c r="D534" s="24"/>
      <c r="E534" s="24"/>
      <c r="F534" s="24"/>
    </row>
    <row r="535">
      <c r="A535" s="24"/>
      <c r="B535" s="24"/>
      <c r="C535" s="24"/>
      <c r="D535" s="24"/>
      <c r="E535" s="24"/>
      <c r="F535" s="24"/>
    </row>
    <row r="536">
      <c r="A536" s="24"/>
      <c r="B536" s="24"/>
      <c r="C536" s="24"/>
      <c r="D536" s="24"/>
      <c r="E536" s="24"/>
      <c r="F536" s="24"/>
    </row>
    <row r="537">
      <c r="A537" s="24"/>
      <c r="B537" s="24"/>
      <c r="C537" s="24"/>
      <c r="D537" s="24"/>
      <c r="E537" s="24"/>
      <c r="F537" s="24"/>
    </row>
    <row r="538">
      <c r="A538" s="24"/>
      <c r="B538" s="24"/>
      <c r="C538" s="24"/>
      <c r="D538" s="24"/>
      <c r="E538" s="24"/>
      <c r="F538" s="24"/>
    </row>
    <row r="539">
      <c r="A539" s="24"/>
      <c r="B539" s="24"/>
      <c r="C539" s="24"/>
      <c r="D539" s="24"/>
      <c r="E539" s="24"/>
      <c r="F539" s="24"/>
    </row>
    <row r="540">
      <c r="A540" s="24"/>
      <c r="B540" s="24"/>
      <c r="C540" s="24"/>
      <c r="D540" s="24"/>
      <c r="E540" s="24"/>
      <c r="F540" s="24"/>
    </row>
    <row r="541">
      <c r="A541" s="24"/>
      <c r="B541" s="24"/>
      <c r="C541" s="24"/>
      <c r="D541" s="24"/>
      <c r="E541" s="24"/>
      <c r="F541" s="24"/>
    </row>
    <row r="542">
      <c r="A542" s="24"/>
      <c r="B542" s="24"/>
      <c r="C542" s="24"/>
      <c r="D542" s="24"/>
      <c r="E542" s="24"/>
      <c r="F542" s="24"/>
    </row>
    <row r="543">
      <c r="A543" s="24"/>
      <c r="B543" s="24"/>
      <c r="C543" s="24"/>
      <c r="D543" s="24"/>
      <c r="E543" s="24"/>
      <c r="F543" s="24"/>
    </row>
    <row r="544">
      <c r="A544" s="24"/>
      <c r="B544" s="24"/>
      <c r="C544" s="24"/>
      <c r="D544" s="24"/>
      <c r="E544" s="24"/>
      <c r="F544" s="24"/>
    </row>
    <row r="545">
      <c r="A545" s="24"/>
      <c r="B545" s="24"/>
      <c r="C545" s="24"/>
      <c r="D545" s="24"/>
      <c r="E545" s="24"/>
      <c r="F545" s="24"/>
    </row>
    <row r="546">
      <c r="A546" s="24"/>
      <c r="B546" s="24"/>
      <c r="C546" s="24"/>
      <c r="D546" s="24"/>
      <c r="E546" s="24"/>
      <c r="F546" s="24"/>
    </row>
    <row r="547">
      <c r="A547" s="24"/>
      <c r="B547" s="24"/>
      <c r="C547" s="24"/>
      <c r="D547" s="24"/>
      <c r="E547" s="24"/>
      <c r="F547" s="24"/>
    </row>
    <row r="548">
      <c r="A548" s="24"/>
      <c r="B548" s="24"/>
      <c r="C548" s="24"/>
      <c r="D548" s="24"/>
      <c r="E548" s="24"/>
      <c r="F548" s="24"/>
    </row>
    <row r="549">
      <c r="A549" s="24"/>
      <c r="B549" s="24"/>
      <c r="C549" s="24"/>
      <c r="D549" s="24"/>
      <c r="E549" s="24"/>
      <c r="F549" s="24"/>
    </row>
    <row r="550">
      <c r="A550" s="24"/>
      <c r="B550" s="24"/>
      <c r="C550" s="24"/>
      <c r="D550" s="24"/>
      <c r="E550" s="24"/>
      <c r="F550" s="24"/>
    </row>
    <row r="551">
      <c r="A551" s="24"/>
      <c r="B551" s="24"/>
      <c r="C551" s="24"/>
      <c r="D551" s="24"/>
      <c r="E551" s="24"/>
      <c r="F551" s="24"/>
    </row>
    <row r="552">
      <c r="A552" s="24"/>
      <c r="B552" s="24"/>
      <c r="C552" s="24"/>
      <c r="D552" s="24"/>
      <c r="E552" s="24"/>
      <c r="F552" s="24"/>
    </row>
    <row r="553">
      <c r="A553" s="24"/>
      <c r="B553" s="24"/>
      <c r="C553" s="24"/>
      <c r="D553" s="24"/>
      <c r="E553" s="24"/>
      <c r="F553" s="24"/>
    </row>
    <row r="554">
      <c r="A554" s="24"/>
      <c r="B554" s="24"/>
      <c r="C554" s="24"/>
      <c r="D554" s="24"/>
      <c r="E554" s="24"/>
      <c r="F554" s="24"/>
    </row>
    <row r="555">
      <c r="A555" s="24"/>
      <c r="B555" s="24"/>
      <c r="C555" s="24"/>
      <c r="D555" s="24"/>
      <c r="E555" s="24"/>
      <c r="F555" s="24"/>
    </row>
    <row r="556">
      <c r="A556" s="24"/>
      <c r="B556" s="24"/>
      <c r="C556" s="24"/>
      <c r="D556" s="24"/>
      <c r="E556" s="24"/>
      <c r="F556" s="24"/>
    </row>
    <row r="557">
      <c r="A557" s="24"/>
      <c r="B557" s="24"/>
      <c r="C557" s="24"/>
      <c r="D557" s="24"/>
      <c r="E557" s="24"/>
      <c r="F557" s="24"/>
    </row>
    <row r="558">
      <c r="A558" s="24"/>
      <c r="B558" s="24"/>
      <c r="C558" s="24"/>
      <c r="D558" s="24"/>
      <c r="E558" s="24"/>
      <c r="F558" s="24"/>
    </row>
    <row r="559">
      <c r="A559" s="24"/>
      <c r="B559" s="24"/>
      <c r="C559" s="24"/>
      <c r="D559" s="24"/>
      <c r="E559" s="24"/>
      <c r="F559" s="24"/>
    </row>
    <row r="560">
      <c r="A560" s="24"/>
      <c r="B560" s="24"/>
      <c r="C560" s="24"/>
      <c r="D560" s="24"/>
      <c r="E560" s="24"/>
      <c r="F560" s="24"/>
    </row>
    <row r="561">
      <c r="A561" s="24"/>
      <c r="B561" s="24"/>
      <c r="C561" s="24"/>
      <c r="D561" s="24"/>
      <c r="E561" s="24"/>
      <c r="F561" s="24"/>
    </row>
    <row r="562">
      <c r="A562" s="24"/>
      <c r="B562" s="24"/>
      <c r="C562" s="24"/>
      <c r="D562" s="24"/>
      <c r="E562" s="24"/>
      <c r="F562" s="24"/>
    </row>
    <row r="563">
      <c r="A563" s="24"/>
      <c r="B563" s="24"/>
      <c r="C563" s="24"/>
      <c r="D563" s="24"/>
      <c r="E563" s="24"/>
      <c r="F563" s="24"/>
    </row>
    <row r="564">
      <c r="A564" s="24"/>
      <c r="B564" s="24"/>
      <c r="C564" s="24"/>
      <c r="D564" s="24"/>
      <c r="E564" s="24"/>
      <c r="F564" s="24"/>
    </row>
    <row r="565">
      <c r="A565" s="24"/>
      <c r="B565" s="24"/>
      <c r="C565" s="24"/>
      <c r="D565" s="24"/>
      <c r="E565" s="24"/>
      <c r="F565" s="24"/>
    </row>
    <row r="566">
      <c r="A566" s="24"/>
      <c r="B566" s="24"/>
      <c r="C566" s="24"/>
      <c r="D566" s="24"/>
      <c r="E566" s="24"/>
      <c r="F566" s="24"/>
    </row>
    <row r="567">
      <c r="A567" s="24"/>
      <c r="B567" s="24"/>
      <c r="C567" s="24"/>
      <c r="D567" s="24"/>
      <c r="E567" s="24"/>
      <c r="F567" s="24"/>
    </row>
    <row r="568">
      <c r="A568" s="24"/>
      <c r="B568" s="24"/>
      <c r="C568" s="24"/>
      <c r="D568" s="24"/>
      <c r="E568" s="24"/>
      <c r="F568" s="24"/>
    </row>
    <row r="569">
      <c r="A569" s="24"/>
      <c r="B569" s="24"/>
      <c r="C569" s="24"/>
      <c r="D569" s="24"/>
      <c r="E569" s="24"/>
      <c r="F569" s="24"/>
    </row>
    <row r="570">
      <c r="A570" s="24"/>
      <c r="B570" s="24"/>
      <c r="C570" s="24"/>
      <c r="D570" s="24"/>
      <c r="E570" s="24"/>
      <c r="F570" s="24"/>
    </row>
    <row r="571">
      <c r="A571" s="24"/>
      <c r="B571" s="24"/>
      <c r="C571" s="24"/>
      <c r="D571" s="24"/>
      <c r="E571" s="24"/>
      <c r="F571" s="24"/>
    </row>
    <row r="572">
      <c r="A572" s="24"/>
      <c r="B572" s="24"/>
      <c r="C572" s="24"/>
      <c r="D572" s="24"/>
      <c r="E572" s="24"/>
      <c r="F572" s="24"/>
    </row>
    <row r="573">
      <c r="A573" s="24"/>
      <c r="B573" s="24"/>
      <c r="C573" s="24"/>
      <c r="D573" s="24"/>
      <c r="E573" s="24"/>
      <c r="F573" s="24"/>
    </row>
    <row r="574">
      <c r="A574" s="24"/>
      <c r="B574" s="24"/>
      <c r="C574" s="24"/>
      <c r="D574" s="24"/>
      <c r="E574" s="24"/>
      <c r="F574" s="24"/>
    </row>
    <row r="575">
      <c r="A575" s="24"/>
      <c r="B575" s="24"/>
      <c r="C575" s="24"/>
      <c r="D575" s="24"/>
      <c r="E575" s="24"/>
      <c r="F575" s="24"/>
    </row>
    <row r="576">
      <c r="A576" s="24"/>
      <c r="B576" s="24"/>
      <c r="C576" s="24"/>
      <c r="D576" s="24"/>
      <c r="E576" s="24"/>
      <c r="F576" s="24"/>
    </row>
    <row r="577">
      <c r="A577" s="24"/>
      <c r="B577" s="24"/>
      <c r="C577" s="24"/>
      <c r="D577" s="24"/>
      <c r="E577" s="24"/>
      <c r="F577" s="24"/>
    </row>
    <row r="578">
      <c r="A578" s="24"/>
      <c r="B578" s="24"/>
      <c r="C578" s="24"/>
      <c r="D578" s="24"/>
      <c r="E578" s="24"/>
      <c r="F578" s="24"/>
    </row>
    <row r="579">
      <c r="A579" s="24"/>
      <c r="B579" s="24"/>
      <c r="C579" s="24"/>
      <c r="D579" s="24"/>
      <c r="E579" s="24"/>
      <c r="F579" s="24"/>
    </row>
    <row r="580">
      <c r="A580" s="24"/>
      <c r="B580" s="24"/>
      <c r="C580" s="24"/>
      <c r="D580" s="24"/>
      <c r="E580" s="24"/>
      <c r="F580" s="24"/>
    </row>
    <row r="581">
      <c r="A581" s="24"/>
      <c r="B581" s="24"/>
      <c r="C581" s="24"/>
      <c r="D581" s="24"/>
      <c r="E581" s="24"/>
      <c r="F581" s="24"/>
    </row>
    <row r="582">
      <c r="A582" s="24"/>
      <c r="B582" s="24"/>
      <c r="C582" s="24"/>
      <c r="D582" s="24"/>
      <c r="E582" s="24"/>
      <c r="F582" s="24"/>
    </row>
    <row r="583">
      <c r="A583" s="24"/>
      <c r="B583" s="24"/>
      <c r="C583" s="24"/>
      <c r="D583" s="24"/>
      <c r="E583" s="24"/>
      <c r="F583" s="24"/>
    </row>
    <row r="584">
      <c r="A584" s="24"/>
      <c r="B584" s="24"/>
      <c r="C584" s="24"/>
      <c r="D584" s="24"/>
      <c r="E584" s="24"/>
      <c r="F584" s="24"/>
    </row>
    <row r="585">
      <c r="A585" s="24"/>
      <c r="B585" s="24"/>
      <c r="C585" s="24"/>
      <c r="D585" s="24"/>
      <c r="E585" s="24"/>
      <c r="F585" s="24"/>
    </row>
    <row r="586">
      <c r="A586" s="24"/>
      <c r="B586" s="24"/>
      <c r="C586" s="24"/>
      <c r="D586" s="24"/>
      <c r="E586" s="24"/>
      <c r="F586" s="24"/>
    </row>
    <row r="587">
      <c r="A587" s="24"/>
      <c r="B587" s="24"/>
      <c r="C587" s="24"/>
      <c r="D587" s="24"/>
      <c r="E587" s="24"/>
      <c r="F587" s="24"/>
    </row>
    <row r="588">
      <c r="A588" s="24"/>
      <c r="B588" s="24"/>
      <c r="C588" s="24"/>
      <c r="D588" s="24"/>
      <c r="E588" s="24"/>
      <c r="F588" s="24"/>
    </row>
    <row r="589">
      <c r="A589" s="24"/>
      <c r="B589" s="24"/>
      <c r="C589" s="24"/>
      <c r="D589" s="24"/>
      <c r="E589" s="24"/>
      <c r="F589" s="24"/>
    </row>
    <row r="590">
      <c r="A590" s="24"/>
      <c r="B590" s="24"/>
      <c r="C590" s="24"/>
      <c r="D590" s="24"/>
      <c r="E590" s="24"/>
      <c r="F590" s="24"/>
    </row>
    <row r="591">
      <c r="A591" s="24"/>
      <c r="B591" s="24"/>
      <c r="C591" s="24"/>
      <c r="D591" s="24"/>
      <c r="E591" s="24"/>
      <c r="F591" s="24"/>
    </row>
    <row r="592">
      <c r="A592" s="24"/>
      <c r="B592" s="24"/>
      <c r="C592" s="24"/>
      <c r="D592" s="24"/>
      <c r="E592" s="24"/>
      <c r="F592" s="24"/>
    </row>
    <row r="593">
      <c r="A593" s="24"/>
      <c r="B593" s="24"/>
      <c r="C593" s="24"/>
      <c r="D593" s="24"/>
      <c r="E593" s="24"/>
      <c r="F593" s="24"/>
    </row>
    <row r="594">
      <c r="A594" s="24"/>
      <c r="B594" s="24"/>
      <c r="C594" s="24"/>
      <c r="D594" s="24"/>
      <c r="E594" s="24"/>
      <c r="F594" s="24"/>
    </row>
    <row r="595">
      <c r="A595" s="24"/>
      <c r="B595" s="24"/>
      <c r="C595" s="24"/>
      <c r="D595" s="24"/>
      <c r="E595" s="24"/>
      <c r="F595" s="24"/>
    </row>
    <row r="596">
      <c r="A596" s="24"/>
      <c r="B596" s="24"/>
      <c r="C596" s="24"/>
      <c r="D596" s="24"/>
      <c r="E596" s="24"/>
      <c r="F596" s="24"/>
    </row>
    <row r="597">
      <c r="A597" s="24"/>
      <c r="B597" s="24"/>
      <c r="C597" s="24"/>
      <c r="D597" s="24"/>
      <c r="E597" s="24"/>
      <c r="F597" s="24"/>
    </row>
    <row r="598">
      <c r="A598" s="24"/>
      <c r="B598" s="24"/>
      <c r="C598" s="24"/>
      <c r="D598" s="24"/>
      <c r="E598" s="24"/>
      <c r="F598" s="24"/>
    </row>
    <row r="599">
      <c r="A599" s="24"/>
      <c r="B599" s="24"/>
      <c r="C599" s="24"/>
      <c r="D599" s="24"/>
      <c r="E599" s="24"/>
      <c r="F599" s="24"/>
    </row>
    <row r="600">
      <c r="A600" s="24"/>
      <c r="B600" s="24"/>
      <c r="C600" s="24"/>
      <c r="D600" s="24"/>
      <c r="E600" s="24"/>
      <c r="F600" s="24"/>
    </row>
    <row r="601">
      <c r="A601" s="24"/>
      <c r="B601" s="24"/>
      <c r="C601" s="24"/>
      <c r="D601" s="24"/>
      <c r="E601" s="24"/>
      <c r="F601" s="24"/>
    </row>
    <row r="602">
      <c r="A602" s="24"/>
      <c r="B602" s="24"/>
      <c r="C602" s="24"/>
      <c r="D602" s="24"/>
      <c r="E602" s="24"/>
      <c r="F602" s="24"/>
    </row>
    <row r="603">
      <c r="A603" s="24"/>
      <c r="B603" s="24"/>
      <c r="C603" s="24"/>
      <c r="D603" s="24"/>
      <c r="E603" s="24"/>
      <c r="F603" s="24"/>
    </row>
    <row r="604">
      <c r="A604" s="24"/>
      <c r="B604" s="24"/>
      <c r="C604" s="24"/>
      <c r="D604" s="24"/>
      <c r="E604" s="24"/>
      <c r="F604" s="24"/>
    </row>
    <row r="605">
      <c r="A605" s="24"/>
      <c r="B605" s="24"/>
      <c r="C605" s="24"/>
      <c r="D605" s="24"/>
      <c r="E605" s="24"/>
      <c r="F605" s="24"/>
    </row>
    <row r="606">
      <c r="A606" s="24"/>
      <c r="B606" s="24"/>
      <c r="C606" s="24"/>
      <c r="D606" s="24"/>
      <c r="E606" s="24"/>
      <c r="F606" s="24"/>
    </row>
    <row r="607">
      <c r="A607" s="24"/>
      <c r="B607" s="24"/>
      <c r="C607" s="24"/>
      <c r="D607" s="24"/>
      <c r="E607" s="24"/>
      <c r="F607" s="24"/>
    </row>
    <row r="608">
      <c r="A608" s="24"/>
      <c r="B608" s="24"/>
      <c r="C608" s="24"/>
      <c r="D608" s="24"/>
      <c r="E608" s="24"/>
      <c r="F608" s="24"/>
    </row>
    <row r="609">
      <c r="A609" s="24"/>
      <c r="B609" s="24"/>
      <c r="C609" s="24"/>
      <c r="D609" s="24"/>
      <c r="E609" s="24"/>
      <c r="F609" s="24"/>
    </row>
    <row r="610">
      <c r="A610" s="24"/>
      <c r="B610" s="24"/>
      <c r="C610" s="24"/>
      <c r="D610" s="24"/>
      <c r="E610" s="24"/>
      <c r="F610" s="24"/>
    </row>
    <row r="611">
      <c r="A611" s="24"/>
      <c r="B611" s="24"/>
      <c r="C611" s="24"/>
      <c r="D611" s="24"/>
      <c r="E611" s="24"/>
      <c r="F611" s="24"/>
    </row>
    <row r="612">
      <c r="A612" s="24"/>
      <c r="B612" s="24"/>
      <c r="C612" s="24"/>
      <c r="D612" s="24"/>
      <c r="E612" s="24"/>
      <c r="F612" s="24"/>
    </row>
    <row r="613">
      <c r="A613" s="24"/>
      <c r="B613" s="24"/>
      <c r="C613" s="24"/>
      <c r="D613" s="24"/>
      <c r="E613" s="24"/>
      <c r="F613" s="24"/>
    </row>
    <row r="614">
      <c r="A614" s="24"/>
      <c r="B614" s="24"/>
      <c r="C614" s="24"/>
      <c r="D614" s="24"/>
      <c r="E614" s="24"/>
      <c r="F614" s="24"/>
    </row>
    <row r="615">
      <c r="A615" s="24"/>
      <c r="B615" s="24"/>
      <c r="C615" s="24"/>
      <c r="D615" s="24"/>
      <c r="E615" s="24"/>
      <c r="F615" s="24"/>
    </row>
    <row r="616">
      <c r="A616" s="24"/>
      <c r="B616" s="24"/>
      <c r="C616" s="24"/>
      <c r="D616" s="24"/>
      <c r="E616" s="24"/>
      <c r="F616" s="24"/>
    </row>
    <row r="617">
      <c r="A617" s="24"/>
      <c r="B617" s="24"/>
      <c r="C617" s="24"/>
      <c r="D617" s="24"/>
      <c r="E617" s="24"/>
      <c r="F617" s="24"/>
    </row>
    <row r="618">
      <c r="A618" s="24"/>
      <c r="B618" s="24"/>
      <c r="C618" s="24"/>
      <c r="D618" s="24"/>
      <c r="E618" s="24"/>
      <c r="F618" s="24"/>
    </row>
    <row r="619">
      <c r="A619" s="24"/>
      <c r="B619" s="24"/>
      <c r="C619" s="24"/>
      <c r="D619" s="24"/>
      <c r="E619" s="24"/>
      <c r="F619" s="24"/>
    </row>
    <row r="620">
      <c r="A620" s="24"/>
      <c r="B620" s="24"/>
      <c r="C620" s="24"/>
      <c r="D620" s="24"/>
      <c r="E620" s="24"/>
      <c r="F620" s="24"/>
    </row>
    <row r="621">
      <c r="A621" s="24"/>
      <c r="B621" s="24"/>
      <c r="C621" s="24"/>
      <c r="D621" s="24"/>
      <c r="E621" s="24"/>
      <c r="F621" s="24"/>
    </row>
    <row r="622">
      <c r="A622" s="24"/>
      <c r="B622" s="24"/>
      <c r="C622" s="24"/>
      <c r="D622" s="24"/>
      <c r="E622" s="24"/>
      <c r="F622" s="24"/>
    </row>
    <row r="623">
      <c r="A623" s="24"/>
      <c r="B623" s="24"/>
      <c r="C623" s="24"/>
      <c r="D623" s="24"/>
      <c r="E623" s="24"/>
      <c r="F623" s="24"/>
    </row>
    <row r="624">
      <c r="A624" s="24"/>
      <c r="B624" s="24"/>
      <c r="C624" s="24"/>
      <c r="D624" s="24"/>
      <c r="E624" s="24"/>
      <c r="F624" s="24"/>
    </row>
    <row r="625">
      <c r="A625" s="24"/>
      <c r="B625" s="24"/>
      <c r="C625" s="24"/>
      <c r="D625" s="24"/>
      <c r="E625" s="24"/>
      <c r="F625" s="24"/>
    </row>
    <row r="626">
      <c r="A626" s="24"/>
      <c r="B626" s="24"/>
      <c r="C626" s="24"/>
      <c r="D626" s="24"/>
      <c r="E626" s="24"/>
      <c r="F626" s="24"/>
    </row>
    <row r="627">
      <c r="A627" s="24"/>
      <c r="B627" s="24"/>
      <c r="C627" s="24"/>
      <c r="D627" s="24"/>
      <c r="E627" s="24"/>
      <c r="F627" s="24"/>
    </row>
    <row r="628">
      <c r="A628" s="24"/>
      <c r="B628" s="24"/>
      <c r="C628" s="24"/>
      <c r="D628" s="24"/>
      <c r="E628" s="24"/>
      <c r="F628" s="24"/>
    </row>
    <row r="629">
      <c r="A629" s="24"/>
      <c r="B629" s="24"/>
      <c r="C629" s="24"/>
      <c r="D629" s="24"/>
      <c r="E629" s="24"/>
      <c r="F629" s="24"/>
    </row>
    <row r="630">
      <c r="A630" s="24"/>
      <c r="B630" s="24"/>
      <c r="C630" s="24"/>
      <c r="D630" s="24"/>
      <c r="E630" s="24"/>
      <c r="F630" s="24"/>
    </row>
    <row r="631">
      <c r="A631" s="24"/>
      <c r="B631" s="24"/>
      <c r="C631" s="24"/>
      <c r="D631" s="24"/>
      <c r="E631" s="24"/>
      <c r="F631" s="24"/>
    </row>
    <row r="632">
      <c r="A632" s="24"/>
      <c r="B632" s="24"/>
      <c r="C632" s="24"/>
      <c r="D632" s="24"/>
      <c r="E632" s="24"/>
      <c r="F632" s="24"/>
    </row>
    <row r="633">
      <c r="A633" s="24"/>
      <c r="B633" s="24"/>
      <c r="C633" s="24"/>
      <c r="D633" s="24"/>
      <c r="E633" s="24"/>
      <c r="F633" s="24"/>
    </row>
    <row r="634">
      <c r="A634" s="24"/>
      <c r="B634" s="24"/>
      <c r="C634" s="24"/>
      <c r="D634" s="24"/>
      <c r="E634" s="24"/>
      <c r="F634" s="24"/>
    </row>
    <row r="635">
      <c r="A635" s="24"/>
      <c r="B635" s="24"/>
      <c r="C635" s="24"/>
      <c r="D635" s="24"/>
      <c r="E635" s="24"/>
      <c r="F635" s="24"/>
    </row>
    <row r="636">
      <c r="A636" s="24"/>
      <c r="B636" s="24"/>
      <c r="C636" s="24"/>
      <c r="D636" s="24"/>
      <c r="E636" s="24"/>
      <c r="F636" s="24"/>
    </row>
    <row r="637">
      <c r="A637" s="24"/>
      <c r="B637" s="24"/>
      <c r="C637" s="24"/>
      <c r="D637" s="24"/>
      <c r="E637" s="24"/>
      <c r="F637" s="24"/>
    </row>
    <row r="638">
      <c r="A638" s="24"/>
      <c r="B638" s="24"/>
      <c r="C638" s="24"/>
      <c r="D638" s="24"/>
      <c r="E638" s="24"/>
      <c r="F638" s="24"/>
    </row>
    <row r="639">
      <c r="A639" s="24"/>
      <c r="B639" s="24"/>
      <c r="C639" s="24"/>
      <c r="D639" s="24"/>
      <c r="E639" s="24"/>
      <c r="F639" s="24"/>
    </row>
    <row r="640">
      <c r="A640" s="24"/>
      <c r="B640" s="24"/>
      <c r="C640" s="24"/>
      <c r="D640" s="24"/>
      <c r="E640" s="24"/>
      <c r="F640" s="24"/>
    </row>
    <row r="641">
      <c r="A641" s="24"/>
      <c r="B641" s="24"/>
      <c r="C641" s="24"/>
      <c r="D641" s="24"/>
      <c r="E641" s="24"/>
      <c r="F641" s="24"/>
    </row>
    <row r="642">
      <c r="A642" s="24"/>
      <c r="B642" s="24"/>
      <c r="C642" s="24"/>
      <c r="D642" s="24"/>
      <c r="E642" s="24"/>
      <c r="F642" s="24"/>
    </row>
    <row r="643">
      <c r="A643" s="24"/>
      <c r="B643" s="24"/>
      <c r="C643" s="24"/>
      <c r="D643" s="24"/>
      <c r="E643" s="24"/>
      <c r="F643" s="24"/>
    </row>
    <row r="644">
      <c r="A644" s="24"/>
      <c r="B644" s="24"/>
      <c r="C644" s="24"/>
      <c r="D644" s="24"/>
      <c r="E644" s="24"/>
      <c r="F644" s="24"/>
    </row>
    <row r="645">
      <c r="A645" s="24"/>
      <c r="B645" s="24"/>
      <c r="C645" s="24"/>
      <c r="D645" s="24"/>
      <c r="E645" s="24"/>
      <c r="F645" s="24"/>
    </row>
    <row r="646">
      <c r="A646" s="24"/>
      <c r="B646" s="24"/>
      <c r="C646" s="24"/>
      <c r="D646" s="24"/>
      <c r="E646" s="24"/>
      <c r="F646" s="24"/>
    </row>
    <row r="647">
      <c r="A647" s="24"/>
      <c r="B647" s="24"/>
      <c r="C647" s="24"/>
      <c r="D647" s="24"/>
      <c r="E647" s="24"/>
      <c r="F647" s="24"/>
    </row>
    <row r="648">
      <c r="A648" s="24"/>
      <c r="B648" s="24"/>
      <c r="C648" s="24"/>
      <c r="D648" s="24"/>
      <c r="E648" s="24"/>
      <c r="F648" s="24"/>
    </row>
    <row r="649">
      <c r="A649" s="24"/>
      <c r="B649" s="24"/>
      <c r="C649" s="24"/>
      <c r="D649" s="24"/>
      <c r="E649" s="24"/>
      <c r="F649" s="24"/>
    </row>
    <row r="650">
      <c r="A650" s="24"/>
      <c r="B650" s="24"/>
      <c r="C650" s="24"/>
      <c r="D650" s="24"/>
      <c r="E650" s="24"/>
      <c r="F650" s="24"/>
    </row>
    <row r="651">
      <c r="A651" s="24"/>
      <c r="B651" s="24"/>
      <c r="C651" s="24"/>
      <c r="D651" s="24"/>
      <c r="E651" s="24"/>
      <c r="F651" s="24"/>
    </row>
    <row r="652">
      <c r="A652" s="24"/>
      <c r="B652" s="24"/>
      <c r="C652" s="24"/>
      <c r="D652" s="24"/>
      <c r="E652" s="24"/>
      <c r="F652" s="24"/>
    </row>
    <row r="653">
      <c r="A653" s="24"/>
      <c r="B653" s="24"/>
      <c r="C653" s="24"/>
      <c r="D653" s="24"/>
      <c r="E653" s="24"/>
      <c r="F653" s="24"/>
    </row>
    <row r="654">
      <c r="A654" s="24"/>
      <c r="B654" s="24"/>
      <c r="C654" s="24"/>
      <c r="D654" s="24"/>
      <c r="E654" s="24"/>
      <c r="F654" s="24"/>
    </row>
    <row r="655">
      <c r="A655" s="24"/>
      <c r="B655" s="24"/>
      <c r="C655" s="24"/>
      <c r="D655" s="24"/>
      <c r="E655" s="24"/>
      <c r="F655" s="24"/>
    </row>
    <row r="656">
      <c r="A656" s="24"/>
      <c r="B656" s="24"/>
      <c r="C656" s="24"/>
      <c r="D656" s="24"/>
      <c r="E656" s="24"/>
      <c r="F656" s="24"/>
    </row>
    <row r="657">
      <c r="A657" s="24"/>
      <c r="B657" s="24"/>
      <c r="C657" s="24"/>
      <c r="D657" s="24"/>
      <c r="E657" s="24"/>
      <c r="F657" s="24"/>
    </row>
    <row r="658">
      <c r="A658" s="24"/>
      <c r="B658" s="24"/>
      <c r="C658" s="24"/>
      <c r="D658" s="24"/>
      <c r="E658" s="24"/>
      <c r="F658" s="24"/>
    </row>
    <row r="659">
      <c r="A659" s="24"/>
      <c r="B659" s="24"/>
      <c r="C659" s="24"/>
      <c r="D659" s="24"/>
      <c r="E659" s="24"/>
      <c r="F659" s="24"/>
    </row>
    <row r="660">
      <c r="A660" s="24"/>
      <c r="B660" s="24"/>
      <c r="C660" s="24"/>
      <c r="D660" s="24"/>
      <c r="E660" s="24"/>
      <c r="F660" s="24"/>
    </row>
    <row r="661">
      <c r="A661" s="24"/>
      <c r="B661" s="24"/>
      <c r="C661" s="24"/>
      <c r="D661" s="24"/>
      <c r="E661" s="24"/>
      <c r="F661" s="24"/>
    </row>
    <row r="662">
      <c r="A662" s="24"/>
      <c r="B662" s="24"/>
      <c r="C662" s="24"/>
      <c r="D662" s="24"/>
      <c r="E662" s="24"/>
      <c r="F662" s="24"/>
    </row>
    <row r="663">
      <c r="A663" s="24"/>
      <c r="B663" s="24"/>
      <c r="C663" s="24"/>
      <c r="D663" s="24"/>
      <c r="E663" s="24"/>
      <c r="F663" s="24"/>
    </row>
    <row r="664">
      <c r="A664" s="24"/>
      <c r="B664" s="24"/>
      <c r="C664" s="24"/>
      <c r="D664" s="24"/>
      <c r="E664" s="24"/>
      <c r="F664" s="24"/>
    </row>
    <row r="665">
      <c r="A665" s="24"/>
      <c r="B665" s="24"/>
      <c r="C665" s="24"/>
      <c r="D665" s="24"/>
      <c r="E665" s="24"/>
      <c r="F665" s="24"/>
    </row>
    <row r="666">
      <c r="A666" s="24"/>
      <c r="B666" s="24"/>
      <c r="C666" s="24"/>
      <c r="D666" s="24"/>
      <c r="E666" s="24"/>
      <c r="F666" s="24"/>
    </row>
    <row r="667">
      <c r="A667" s="24"/>
      <c r="B667" s="24"/>
      <c r="C667" s="24"/>
      <c r="D667" s="24"/>
      <c r="E667" s="24"/>
      <c r="F667" s="24"/>
    </row>
    <row r="668">
      <c r="A668" s="24"/>
      <c r="B668" s="24"/>
      <c r="C668" s="24"/>
      <c r="D668" s="24"/>
      <c r="E668" s="24"/>
      <c r="F668" s="24"/>
    </row>
    <row r="669">
      <c r="A669" s="24"/>
      <c r="B669" s="24"/>
      <c r="C669" s="24"/>
      <c r="D669" s="24"/>
      <c r="E669" s="24"/>
      <c r="F669" s="24"/>
    </row>
    <row r="670">
      <c r="A670" s="24"/>
      <c r="B670" s="24"/>
      <c r="C670" s="24"/>
      <c r="D670" s="24"/>
      <c r="E670" s="24"/>
      <c r="F670" s="24"/>
    </row>
    <row r="671">
      <c r="A671" s="24"/>
      <c r="B671" s="24"/>
      <c r="C671" s="24"/>
      <c r="D671" s="24"/>
      <c r="E671" s="24"/>
      <c r="F671" s="24"/>
    </row>
    <row r="672">
      <c r="A672" s="24"/>
      <c r="B672" s="24"/>
      <c r="C672" s="24"/>
      <c r="D672" s="24"/>
      <c r="E672" s="24"/>
      <c r="F672" s="24"/>
    </row>
    <row r="673">
      <c r="A673" s="24"/>
      <c r="B673" s="24"/>
      <c r="C673" s="24"/>
      <c r="D673" s="24"/>
      <c r="E673" s="24"/>
      <c r="F673" s="24"/>
    </row>
    <row r="674">
      <c r="A674" s="24"/>
      <c r="B674" s="24"/>
      <c r="C674" s="24"/>
      <c r="D674" s="24"/>
      <c r="E674" s="24"/>
      <c r="F674" s="24"/>
    </row>
    <row r="675">
      <c r="A675" s="24"/>
      <c r="B675" s="24"/>
      <c r="C675" s="24"/>
      <c r="D675" s="24"/>
      <c r="E675" s="24"/>
      <c r="F675" s="24"/>
    </row>
    <row r="676">
      <c r="A676" s="24"/>
      <c r="B676" s="24"/>
      <c r="C676" s="24"/>
      <c r="D676" s="24"/>
      <c r="E676" s="24"/>
      <c r="F676" s="24"/>
    </row>
    <row r="677">
      <c r="A677" s="24"/>
      <c r="B677" s="24"/>
      <c r="C677" s="24"/>
      <c r="D677" s="24"/>
      <c r="E677" s="24"/>
      <c r="F677" s="24"/>
    </row>
    <row r="678">
      <c r="A678" s="24"/>
      <c r="B678" s="24"/>
      <c r="C678" s="24"/>
      <c r="D678" s="24"/>
      <c r="E678" s="24"/>
      <c r="F678" s="24"/>
    </row>
    <row r="679">
      <c r="A679" s="24"/>
      <c r="B679" s="24"/>
      <c r="C679" s="24"/>
      <c r="D679" s="24"/>
      <c r="E679" s="24"/>
      <c r="F679" s="24"/>
    </row>
    <row r="680">
      <c r="A680" s="24"/>
      <c r="B680" s="24"/>
      <c r="C680" s="24"/>
      <c r="D680" s="24"/>
      <c r="E680" s="24"/>
      <c r="F680" s="24"/>
    </row>
    <row r="681">
      <c r="A681" s="24"/>
      <c r="B681" s="24"/>
      <c r="C681" s="24"/>
      <c r="D681" s="24"/>
      <c r="E681" s="24"/>
      <c r="F681" s="24"/>
    </row>
    <row r="682">
      <c r="A682" s="24"/>
      <c r="B682" s="24"/>
      <c r="C682" s="24"/>
      <c r="D682" s="24"/>
      <c r="E682" s="24"/>
      <c r="F682" s="24"/>
    </row>
    <row r="683">
      <c r="A683" s="24"/>
      <c r="B683" s="24"/>
      <c r="C683" s="24"/>
      <c r="D683" s="24"/>
      <c r="E683" s="24"/>
      <c r="F683" s="24"/>
    </row>
    <row r="684">
      <c r="A684" s="24"/>
      <c r="B684" s="24"/>
      <c r="C684" s="24"/>
      <c r="D684" s="24"/>
      <c r="E684" s="24"/>
      <c r="F684" s="24"/>
    </row>
    <row r="685">
      <c r="A685" s="24"/>
      <c r="B685" s="24"/>
      <c r="C685" s="24"/>
      <c r="D685" s="24"/>
      <c r="E685" s="24"/>
      <c r="F685" s="24"/>
    </row>
    <row r="686">
      <c r="A686" s="24"/>
      <c r="B686" s="24"/>
      <c r="C686" s="24"/>
      <c r="D686" s="24"/>
      <c r="E686" s="24"/>
      <c r="F686" s="24"/>
    </row>
    <row r="687">
      <c r="A687" s="24"/>
      <c r="B687" s="24"/>
      <c r="C687" s="24"/>
      <c r="D687" s="24"/>
      <c r="E687" s="24"/>
      <c r="F687" s="24"/>
    </row>
    <row r="688">
      <c r="A688" s="24"/>
      <c r="B688" s="24"/>
      <c r="C688" s="24"/>
      <c r="D688" s="24"/>
      <c r="E688" s="24"/>
      <c r="F688" s="24"/>
    </row>
    <row r="689">
      <c r="A689" s="24"/>
      <c r="B689" s="24"/>
      <c r="C689" s="24"/>
      <c r="D689" s="24"/>
      <c r="E689" s="24"/>
      <c r="F689" s="24"/>
    </row>
    <row r="690">
      <c r="A690" s="24"/>
      <c r="B690" s="24"/>
      <c r="C690" s="24"/>
      <c r="D690" s="24"/>
      <c r="E690" s="24"/>
      <c r="F690" s="24"/>
    </row>
    <row r="691">
      <c r="A691" s="24"/>
      <c r="B691" s="24"/>
      <c r="C691" s="24"/>
      <c r="D691" s="24"/>
      <c r="E691" s="24"/>
      <c r="F691" s="24"/>
    </row>
    <row r="692">
      <c r="A692" s="24"/>
      <c r="B692" s="24"/>
      <c r="C692" s="24"/>
      <c r="D692" s="24"/>
      <c r="E692" s="24"/>
      <c r="F692" s="24"/>
    </row>
    <row r="693">
      <c r="A693" s="24"/>
      <c r="B693" s="24"/>
      <c r="C693" s="24"/>
      <c r="D693" s="24"/>
      <c r="E693" s="24"/>
      <c r="F693" s="24"/>
    </row>
    <row r="694">
      <c r="A694" s="24"/>
      <c r="B694" s="24"/>
      <c r="C694" s="24"/>
      <c r="D694" s="24"/>
      <c r="E694" s="24"/>
      <c r="F694" s="24"/>
    </row>
    <row r="695">
      <c r="A695" s="24"/>
      <c r="B695" s="24"/>
      <c r="C695" s="24"/>
      <c r="D695" s="24"/>
      <c r="E695" s="24"/>
      <c r="F695" s="24"/>
    </row>
    <row r="696">
      <c r="A696" s="24"/>
      <c r="B696" s="24"/>
      <c r="C696" s="24"/>
      <c r="D696" s="24"/>
      <c r="E696" s="24"/>
      <c r="F696" s="24"/>
    </row>
    <row r="697">
      <c r="A697" s="24"/>
      <c r="B697" s="24"/>
      <c r="C697" s="24"/>
      <c r="D697" s="24"/>
      <c r="E697" s="24"/>
      <c r="F697" s="24"/>
    </row>
    <row r="698">
      <c r="A698" s="24"/>
      <c r="B698" s="24"/>
      <c r="C698" s="24"/>
      <c r="D698" s="24"/>
      <c r="E698" s="24"/>
      <c r="F698" s="24"/>
    </row>
    <row r="699">
      <c r="A699" s="24"/>
      <c r="B699" s="24"/>
      <c r="C699" s="24"/>
      <c r="D699" s="24"/>
      <c r="E699" s="24"/>
      <c r="F699" s="24"/>
    </row>
    <row r="700">
      <c r="A700" s="24"/>
      <c r="B700" s="24"/>
      <c r="C700" s="24"/>
      <c r="D700" s="24"/>
      <c r="E700" s="24"/>
      <c r="F700" s="24"/>
    </row>
    <row r="701">
      <c r="A701" s="24"/>
      <c r="B701" s="24"/>
      <c r="C701" s="24"/>
      <c r="D701" s="24"/>
      <c r="E701" s="24"/>
      <c r="F701" s="24"/>
    </row>
    <row r="702">
      <c r="A702" s="24"/>
      <c r="B702" s="24"/>
      <c r="C702" s="24"/>
      <c r="D702" s="24"/>
      <c r="E702" s="24"/>
      <c r="F702" s="24"/>
    </row>
    <row r="703">
      <c r="A703" s="24"/>
      <c r="B703" s="24"/>
      <c r="C703" s="24"/>
      <c r="D703" s="24"/>
      <c r="E703" s="24"/>
      <c r="F703" s="24"/>
    </row>
    <row r="704">
      <c r="A704" s="24"/>
      <c r="B704" s="24"/>
      <c r="C704" s="24"/>
      <c r="D704" s="24"/>
      <c r="E704" s="24"/>
      <c r="F704" s="24"/>
    </row>
    <row r="705">
      <c r="A705" s="24"/>
      <c r="B705" s="24"/>
      <c r="C705" s="24"/>
      <c r="D705" s="24"/>
      <c r="E705" s="24"/>
      <c r="F705" s="24"/>
    </row>
    <row r="706">
      <c r="A706" s="24"/>
      <c r="B706" s="24"/>
      <c r="C706" s="24"/>
      <c r="D706" s="24"/>
      <c r="E706" s="24"/>
      <c r="F706" s="24"/>
    </row>
    <row r="707">
      <c r="A707" s="24"/>
      <c r="B707" s="24"/>
      <c r="C707" s="24"/>
      <c r="D707" s="24"/>
      <c r="E707" s="24"/>
      <c r="F707" s="24"/>
    </row>
    <row r="708">
      <c r="A708" s="24"/>
      <c r="B708" s="24"/>
      <c r="C708" s="24"/>
      <c r="D708" s="24"/>
      <c r="E708" s="24"/>
      <c r="F708" s="24"/>
    </row>
    <row r="709">
      <c r="A709" s="24"/>
      <c r="B709" s="24"/>
      <c r="C709" s="24"/>
      <c r="D709" s="24"/>
      <c r="E709" s="24"/>
      <c r="F709" s="24"/>
    </row>
    <row r="710">
      <c r="A710" s="24"/>
      <c r="B710" s="24"/>
      <c r="C710" s="24"/>
      <c r="D710" s="24"/>
      <c r="E710" s="24"/>
      <c r="F710" s="24"/>
    </row>
    <row r="711">
      <c r="A711" s="24"/>
      <c r="B711" s="24"/>
      <c r="C711" s="24"/>
      <c r="D711" s="24"/>
      <c r="E711" s="24"/>
      <c r="F711" s="24"/>
    </row>
    <row r="712">
      <c r="A712" s="24"/>
      <c r="B712" s="24"/>
      <c r="C712" s="24"/>
      <c r="D712" s="24"/>
      <c r="E712" s="24"/>
      <c r="F712" s="24"/>
    </row>
    <row r="713">
      <c r="A713" s="24"/>
      <c r="B713" s="24"/>
      <c r="C713" s="24"/>
      <c r="D713" s="24"/>
      <c r="E713" s="24"/>
      <c r="F713" s="24"/>
    </row>
    <row r="714">
      <c r="A714" s="24"/>
      <c r="B714" s="24"/>
      <c r="C714" s="24"/>
      <c r="D714" s="24"/>
      <c r="E714" s="24"/>
      <c r="F714" s="24"/>
    </row>
    <row r="715">
      <c r="A715" s="24"/>
      <c r="B715" s="24"/>
      <c r="C715" s="24"/>
      <c r="D715" s="24"/>
      <c r="E715" s="24"/>
      <c r="F715" s="24"/>
    </row>
    <row r="716">
      <c r="A716" s="24"/>
      <c r="B716" s="24"/>
      <c r="C716" s="24"/>
      <c r="D716" s="24"/>
      <c r="E716" s="24"/>
      <c r="F716" s="24"/>
    </row>
    <row r="717">
      <c r="A717" s="24"/>
      <c r="B717" s="24"/>
      <c r="C717" s="24"/>
      <c r="D717" s="24"/>
      <c r="E717" s="24"/>
      <c r="F717" s="24"/>
    </row>
    <row r="718">
      <c r="A718" s="24"/>
      <c r="B718" s="24"/>
      <c r="C718" s="24"/>
      <c r="D718" s="24"/>
      <c r="E718" s="24"/>
      <c r="F718" s="24"/>
    </row>
    <row r="719">
      <c r="A719" s="24"/>
      <c r="B719" s="24"/>
      <c r="C719" s="24"/>
      <c r="D719" s="24"/>
      <c r="E719" s="24"/>
      <c r="F719" s="24"/>
    </row>
    <row r="720">
      <c r="A720" s="24"/>
      <c r="B720" s="24"/>
      <c r="C720" s="24"/>
      <c r="D720" s="24"/>
      <c r="E720" s="24"/>
      <c r="F720" s="24"/>
    </row>
    <row r="721">
      <c r="A721" s="24"/>
      <c r="B721" s="24"/>
      <c r="C721" s="24"/>
      <c r="D721" s="24"/>
      <c r="E721" s="24"/>
      <c r="F721" s="24"/>
    </row>
    <row r="722">
      <c r="A722" s="24"/>
      <c r="B722" s="24"/>
      <c r="C722" s="24"/>
      <c r="D722" s="24"/>
      <c r="E722" s="24"/>
      <c r="F722" s="24"/>
    </row>
    <row r="723">
      <c r="A723" s="24"/>
      <c r="B723" s="24"/>
      <c r="C723" s="24"/>
      <c r="D723" s="24"/>
      <c r="E723" s="24"/>
      <c r="F723" s="24"/>
    </row>
    <row r="724">
      <c r="A724" s="24"/>
      <c r="B724" s="24"/>
      <c r="C724" s="24"/>
      <c r="D724" s="24"/>
      <c r="E724" s="24"/>
      <c r="F724" s="24"/>
    </row>
    <row r="725">
      <c r="A725" s="24"/>
      <c r="B725" s="24"/>
      <c r="C725" s="24"/>
      <c r="D725" s="24"/>
      <c r="E725" s="24"/>
      <c r="F725" s="24"/>
    </row>
    <row r="726">
      <c r="A726" s="24"/>
      <c r="B726" s="24"/>
      <c r="C726" s="24"/>
      <c r="D726" s="24"/>
      <c r="E726" s="24"/>
      <c r="F726" s="24"/>
    </row>
    <row r="727">
      <c r="A727" s="24"/>
      <c r="B727" s="24"/>
      <c r="C727" s="24"/>
      <c r="D727" s="24"/>
      <c r="E727" s="24"/>
      <c r="F727" s="24"/>
    </row>
    <row r="728">
      <c r="A728" s="24"/>
      <c r="B728" s="24"/>
      <c r="C728" s="24"/>
      <c r="D728" s="24"/>
      <c r="E728" s="24"/>
      <c r="F728" s="24"/>
    </row>
    <row r="729">
      <c r="A729" s="24"/>
      <c r="B729" s="24"/>
      <c r="C729" s="24"/>
      <c r="D729" s="24"/>
      <c r="E729" s="24"/>
      <c r="F729" s="24"/>
    </row>
    <row r="730">
      <c r="A730" s="24"/>
      <c r="B730" s="24"/>
      <c r="C730" s="24"/>
      <c r="D730" s="24"/>
      <c r="E730" s="24"/>
      <c r="F730" s="24"/>
    </row>
    <row r="731">
      <c r="A731" s="24"/>
      <c r="B731" s="24"/>
      <c r="C731" s="24"/>
      <c r="D731" s="24"/>
      <c r="E731" s="24"/>
      <c r="F731" s="24"/>
    </row>
    <row r="732">
      <c r="A732" s="24"/>
      <c r="B732" s="24"/>
      <c r="C732" s="24"/>
      <c r="D732" s="24"/>
      <c r="E732" s="24"/>
      <c r="F732" s="24"/>
    </row>
    <row r="733">
      <c r="A733" s="24"/>
      <c r="B733" s="24"/>
      <c r="C733" s="24"/>
      <c r="D733" s="24"/>
      <c r="E733" s="24"/>
      <c r="F733" s="24"/>
    </row>
    <row r="734">
      <c r="A734" s="24"/>
      <c r="B734" s="24"/>
      <c r="C734" s="24"/>
      <c r="D734" s="24"/>
      <c r="E734" s="24"/>
      <c r="F734" s="24"/>
    </row>
    <row r="735">
      <c r="A735" s="24"/>
      <c r="B735" s="24"/>
      <c r="C735" s="24"/>
      <c r="D735" s="24"/>
      <c r="E735" s="24"/>
      <c r="F735" s="24"/>
    </row>
    <row r="736">
      <c r="A736" s="24"/>
      <c r="B736" s="24"/>
      <c r="C736" s="24"/>
      <c r="D736" s="24"/>
      <c r="E736" s="24"/>
      <c r="F736" s="24"/>
    </row>
    <row r="737">
      <c r="A737" s="24"/>
      <c r="B737" s="24"/>
      <c r="C737" s="24"/>
      <c r="D737" s="24"/>
      <c r="E737" s="24"/>
      <c r="F737" s="24"/>
    </row>
    <row r="738">
      <c r="A738" s="24"/>
      <c r="B738" s="24"/>
      <c r="C738" s="24"/>
      <c r="D738" s="24"/>
      <c r="E738" s="24"/>
      <c r="F738" s="24"/>
    </row>
    <row r="739">
      <c r="A739" s="24"/>
      <c r="B739" s="24"/>
      <c r="C739" s="24"/>
      <c r="D739" s="24"/>
      <c r="E739" s="24"/>
      <c r="F739" s="24"/>
    </row>
    <row r="740">
      <c r="A740" s="24"/>
      <c r="B740" s="24"/>
      <c r="C740" s="24"/>
      <c r="D740" s="24"/>
      <c r="E740" s="24"/>
      <c r="F740" s="24"/>
    </row>
    <row r="741">
      <c r="A741" s="24"/>
      <c r="B741" s="24"/>
      <c r="C741" s="24"/>
      <c r="D741" s="24"/>
      <c r="E741" s="24"/>
      <c r="F741" s="24"/>
    </row>
    <row r="742">
      <c r="A742" s="24"/>
      <c r="B742" s="24"/>
      <c r="C742" s="24"/>
      <c r="D742" s="24"/>
      <c r="E742" s="24"/>
      <c r="F742" s="24"/>
    </row>
    <row r="743">
      <c r="A743" s="24"/>
      <c r="B743" s="24"/>
      <c r="C743" s="24"/>
      <c r="D743" s="24"/>
      <c r="E743" s="24"/>
      <c r="F743" s="24"/>
    </row>
    <row r="744">
      <c r="A744" s="24"/>
      <c r="B744" s="24"/>
      <c r="C744" s="24"/>
      <c r="D744" s="24"/>
      <c r="E744" s="24"/>
      <c r="F744" s="24"/>
    </row>
    <row r="745">
      <c r="A745" s="24"/>
      <c r="B745" s="24"/>
      <c r="C745" s="24"/>
      <c r="D745" s="24"/>
      <c r="E745" s="24"/>
      <c r="F745" s="24"/>
    </row>
    <row r="746">
      <c r="A746" s="24"/>
      <c r="B746" s="24"/>
      <c r="C746" s="24"/>
      <c r="D746" s="24"/>
      <c r="E746" s="24"/>
      <c r="F746" s="24"/>
    </row>
    <row r="747">
      <c r="A747" s="24"/>
      <c r="B747" s="24"/>
      <c r="C747" s="24"/>
      <c r="D747" s="24"/>
      <c r="E747" s="24"/>
      <c r="F747" s="24"/>
    </row>
    <row r="748">
      <c r="A748" s="24"/>
      <c r="B748" s="24"/>
      <c r="C748" s="24"/>
      <c r="D748" s="24"/>
      <c r="E748" s="24"/>
      <c r="F748" s="24"/>
    </row>
    <row r="749">
      <c r="A749" s="24"/>
      <c r="B749" s="24"/>
      <c r="C749" s="24"/>
      <c r="D749" s="24"/>
      <c r="E749" s="24"/>
      <c r="F749" s="24"/>
    </row>
    <row r="750">
      <c r="A750" s="24"/>
      <c r="B750" s="24"/>
      <c r="C750" s="24"/>
      <c r="D750" s="24"/>
      <c r="E750" s="24"/>
      <c r="F750" s="24"/>
    </row>
    <row r="751">
      <c r="A751" s="24"/>
      <c r="B751" s="24"/>
      <c r="C751" s="24"/>
      <c r="D751" s="24"/>
      <c r="E751" s="24"/>
      <c r="F751" s="24"/>
    </row>
    <row r="752">
      <c r="A752" s="24"/>
      <c r="B752" s="24"/>
      <c r="C752" s="24"/>
      <c r="D752" s="24"/>
      <c r="E752" s="24"/>
      <c r="F752" s="24"/>
    </row>
    <row r="753">
      <c r="A753" s="24"/>
      <c r="B753" s="24"/>
      <c r="C753" s="24"/>
      <c r="D753" s="24"/>
      <c r="E753" s="24"/>
      <c r="F753" s="24"/>
    </row>
    <row r="754">
      <c r="A754" s="24"/>
      <c r="B754" s="24"/>
      <c r="C754" s="24"/>
      <c r="D754" s="24"/>
      <c r="E754" s="24"/>
      <c r="F754" s="24"/>
    </row>
    <row r="755">
      <c r="A755" s="24"/>
      <c r="B755" s="24"/>
      <c r="C755" s="24"/>
      <c r="D755" s="24"/>
      <c r="E755" s="24"/>
      <c r="F755" s="24"/>
    </row>
    <row r="756">
      <c r="A756" s="24"/>
      <c r="B756" s="24"/>
      <c r="C756" s="24"/>
      <c r="D756" s="24"/>
      <c r="E756" s="24"/>
      <c r="F756" s="24"/>
    </row>
    <row r="757">
      <c r="A757" s="24"/>
      <c r="B757" s="24"/>
      <c r="C757" s="24"/>
      <c r="D757" s="24"/>
      <c r="E757" s="24"/>
      <c r="F757" s="24"/>
    </row>
    <row r="758">
      <c r="A758" s="24"/>
      <c r="B758" s="24"/>
      <c r="C758" s="24"/>
      <c r="D758" s="24"/>
      <c r="E758" s="24"/>
      <c r="F758" s="24"/>
    </row>
    <row r="759">
      <c r="A759" s="24"/>
      <c r="B759" s="24"/>
      <c r="C759" s="24"/>
      <c r="D759" s="24"/>
      <c r="E759" s="24"/>
      <c r="F759" s="24"/>
    </row>
    <row r="760">
      <c r="A760" s="24"/>
      <c r="B760" s="24"/>
      <c r="C760" s="24"/>
      <c r="D760" s="24"/>
      <c r="E760" s="24"/>
      <c r="F760" s="24"/>
    </row>
    <row r="761">
      <c r="A761" s="24"/>
      <c r="B761" s="24"/>
      <c r="C761" s="24"/>
      <c r="D761" s="24"/>
      <c r="E761" s="24"/>
      <c r="F761" s="24"/>
    </row>
    <row r="762">
      <c r="A762" s="24"/>
      <c r="B762" s="24"/>
      <c r="C762" s="24"/>
      <c r="D762" s="24"/>
      <c r="E762" s="24"/>
      <c r="F762" s="24"/>
    </row>
    <row r="763">
      <c r="A763" s="24"/>
      <c r="B763" s="24"/>
      <c r="C763" s="24"/>
      <c r="D763" s="24"/>
      <c r="E763" s="24"/>
      <c r="F763" s="24"/>
    </row>
    <row r="764">
      <c r="A764" s="24"/>
      <c r="B764" s="24"/>
      <c r="C764" s="24"/>
      <c r="D764" s="24"/>
      <c r="E764" s="24"/>
      <c r="F764" s="24"/>
    </row>
    <row r="765">
      <c r="A765" s="24"/>
      <c r="B765" s="24"/>
      <c r="C765" s="24"/>
      <c r="D765" s="24"/>
      <c r="E765" s="24"/>
      <c r="F765" s="24"/>
    </row>
    <row r="766">
      <c r="A766" s="24"/>
      <c r="B766" s="24"/>
      <c r="C766" s="24"/>
      <c r="D766" s="24"/>
      <c r="E766" s="24"/>
      <c r="F766" s="24"/>
    </row>
    <row r="767">
      <c r="A767" s="24"/>
      <c r="B767" s="24"/>
      <c r="C767" s="24"/>
      <c r="D767" s="24"/>
      <c r="E767" s="24"/>
      <c r="F767" s="24"/>
    </row>
    <row r="768">
      <c r="A768" s="24"/>
      <c r="B768" s="24"/>
      <c r="C768" s="24"/>
      <c r="D768" s="24"/>
      <c r="E768" s="24"/>
      <c r="F768" s="24"/>
    </row>
    <row r="769">
      <c r="A769" s="24"/>
      <c r="B769" s="24"/>
      <c r="C769" s="24"/>
      <c r="D769" s="24"/>
      <c r="E769" s="24"/>
      <c r="F769" s="24"/>
    </row>
    <row r="770">
      <c r="A770" s="24"/>
      <c r="B770" s="24"/>
      <c r="C770" s="24"/>
      <c r="D770" s="24"/>
      <c r="E770" s="24"/>
      <c r="F770" s="24"/>
    </row>
    <row r="771">
      <c r="A771" s="24"/>
      <c r="B771" s="24"/>
      <c r="C771" s="24"/>
      <c r="D771" s="24"/>
      <c r="E771" s="24"/>
      <c r="F771" s="24"/>
    </row>
    <row r="772">
      <c r="A772" s="24"/>
      <c r="B772" s="24"/>
      <c r="C772" s="24"/>
      <c r="D772" s="24"/>
      <c r="E772" s="24"/>
      <c r="F772" s="24"/>
    </row>
    <row r="773">
      <c r="A773" s="24"/>
      <c r="B773" s="24"/>
      <c r="C773" s="24"/>
      <c r="D773" s="24"/>
      <c r="E773" s="24"/>
      <c r="F773" s="24"/>
    </row>
    <row r="774">
      <c r="A774" s="24"/>
      <c r="B774" s="24"/>
      <c r="C774" s="24"/>
      <c r="D774" s="24"/>
      <c r="E774" s="24"/>
      <c r="F774" s="24"/>
    </row>
    <row r="775">
      <c r="A775" s="24"/>
      <c r="B775" s="24"/>
      <c r="C775" s="24"/>
      <c r="D775" s="24"/>
      <c r="E775" s="24"/>
      <c r="F775" s="24"/>
    </row>
    <row r="776">
      <c r="A776" s="24"/>
      <c r="B776" s="24"/>
      <c r="C776" s="24"/>
      <c r="D776" s="24"/>
      <c r="E776" s="24"/>
      <c r="F776" s="24"/>
    </row>
    <row r="777">
      <c r="A777" s="24"/>
      <c r="B777" s="24"/>
      <c r="C777" s="24"/>
      <c r="D777" s="24"/>
      <c r="E777" s="24"/>
      <c r="F777" s="24"/>
    </row>
    <row r="778">
      <c r="A778" s="24"/>
      <c r="B778" s="24"/>
      <c r="C778" s="24"/>
      <c r="D778" s="24"/>
      <c r="E778" s="24"/>
      <c r="F778" s="24"/>
    </row>
    <row r="779">
      <c r="A779" s="24"/>
      <c r="B779" s="24"/>
      <c r="C779" s="24"/>
      <c r="D779" s="24"/>
      <c r="E779" s="24"/>
      <c r="F779" s="24"/>
    </row>
    <row r="780">
      <c r="A780" s="24"/>
      <c r="B780" s="24"/>
      <c r="C780" s="24"/>
      <c r="D780" s="24"/>
      <c r="E780" s="24"/>
      <c r="F780" s="24"/>
    </row>
    <row r="781">
      <c r="A781" s="24"/>
      <c r="B781" s="24"/>
      <c r="C781" s="24"/>
      <c r="D781" s="24"/>
      <c r="E781" s="24"/>
      <c r="F781" s="24"/>
    </row>
    <row r="782">
      <c r="A782" s="24"/>
      <c r="B782" s="24"/>
      <c r="C782" s="24"/>
      <c r="D782" s="24"/>
      <c r="E782" s="24"/>
      <c r="F782" s="24"/>
    </row>
    <row r="783">
      <c r="A783" s="24"/>
      <c r="B783" s="24"/>
      <c r="C783" s="24"/>
      <c r="D783" s="24"/>
      <c r="E783" s="24"/>
      <c r="F783" s="24"/>
    </row>
    <row r="784">
      <c r="A784" s="24"/>
      <c r="B784" s="24"/>
      <c r="C784" s="24"/>
      <c r="D784" s="24"/>
      <c r="E784" s="24"/>
      <c r="F784" s="24"/>
    </row>
    <row r="785">
      <c r="A785" s="24"/>
      <c r="B785" s="24"/>
      <c r="C785" s="24"/>
      <c r="D785" s="24"/>
      <c r="E785" s="24"/>
      <c r="F785" s="24"/>
    </row>
    <row r="786">
      <c r="A786" s="24"/>
      <c r="B786" s="24"/>
      <c r="C786" s="24"/>
      <c r="D786" s="24"/>
      <c r="E786" s="24"/>
      <c r="F786" s="24"/>
    </row>
    <row r="787">
      <c r="A787" s="24"/>
      <c r="B787" s="24"/>
      <c r="C787" s="24"/>
      <c r="D787" s="24"/>
      <c r="E787" s="24"/>
      <c r="F787" s="24"/>
    </row>
    <row r="788">
      <c r="A788" s="24"/>
      <c r="B788" s="24"/>
      <c r="C788" s="24"/>
      <c r="D788" s="24"/>
      <c r="E788" s="24"/>
      <c r="F788" s="24"/>
    </row>
    <row r="789">
      <c r="A789" s="24"/>
      <c r="B789" s="24"/>
      <c r="C789" s="24"/>
      <c r="D789" s="24"/>
      <c r="E789" s="24"/>
      <c r="F789" s="24"/>
    </row>
    <row r="790">
      <c r="A790" s="24"/>
      <c r="B790" s="24"/>
      <c r="C790" s="24"/>
      <c r="D790" s="24"/>
      <c r="E790" s="24"/>
      <c r="F790" s="24"/>
    </row>
    <row r="791">
      <c r="A791" s="24"/>
      <c r="B791" s="24"/>
      <c r="C791" s="24"/>
      <c r="D791" s="24"/>
      <c r="E791" s="24"/>
      <c r="F791" s="24"/>
    </row>
    <row r="792">
      <c r="A792" s="24"/>
      <c r="B792" s="24"/>
      <c r="C792" s="24"/>
      <c r="D792" s="24"/>
      <c r="E792" s="24"/>
      <c r="F792" s="24"/>
    </row>
    <row r="793">
      <c r="A793" s="24"/>
      <c r="B793" s="24"/>
      <c r="C793" s="24"/>
      <c r="D793" s="24"/>
      <c r="E793" s="24"/>
      <c r="F793" s="24"/>
    </row>
    <row r="794">
      <c r="A794" s="24"/>
      <c r="B794" s="24"/>
      <c r="C794" s="24"/>
      <c r="D794" s="24"/>
      <c r="E794" s="24"/>
      <c r="F794" s="24"/>
    </row>
    <row r="795">
      <c r="A795" s="24"/>
      <c r="B795" s="24"/>
      <c r="C795" s="24"/>
      <c r="D795" s="24"/>
      <c r="E795" s="24"/>
      <c r="F795" s="24"/>
    </row>
    <row r="796">
      <c r="A796" s="24"/>
      <c r="B796" s="24"/>
      <c r="C796" s="24"/>
      <c r="D796" s="24"/>
      <c r="E796" s="24"/>
      <c r="F796" s="24"/>
    </row>
    <row r="797">
      <c r="A797" s="24"/>
      <c r="B797" s="24"/>
      <c r="C797" s="24"/>
      <c r="D797" s="24"/>
      <c r="E797" s="24"/>
      <c r="F797" s="24"/>
    </row>
    <row r="798">
      <c r="A798" s="24"/>
      <c r="B798" s="24"/>
      <c r="C798" s="24"/>
      <c r="D798" s="24"/>
      <c r="E798" s="24"/>
      <c r="F798" s="24"/>
    </row>
    <row r="799">
      <c r="A799" s="24"/>
      <c r="B799" s="24"/>
      <c r="C799" s="24"/>
      <c r="D799" s="24"/>
      <c r="E799" s="24"/>
      <c r="F799" s="24"/>
    </row>
    <row r="800">
      <c r="A800" s="24"/>
      <c r="B800" s="24"/>
      <c r="C800" s="24"/>
      <c r="D800" s="24"/>
      <c r="E800" s="24"/>
      <c r="F800" s="24"/>
    </row>
    <row r="801">
      <c r="A801" s="24"/>
      <c r="B801" s="24"/>
      <c r="C801" s="24"/>
      <c r="D801" s="24"/>
      <c r="E801" s="24"/>
      <c r="F801" s="24"/>
    </row>
    <row r="802">
      <c r="A802" s="24"/>
      <c r="B802" s="24"/>
      <c r="C802" s="24"/>
      <c r="D802" s="24"/>
      <c r="E802" s="24"/>
      <c r="F802" s="24"/>
    </row>
    <row r="803">
      <c r="A803" s="24"/>
      <c r="B803" s="24"/>
      <c r="C803" s="24"/>
      <c r="D803" s="24"/>
      <c r="E803" s="24"/>
      <c r="F803" s="24"/>
    </row>
    <row r="804">
      <c r="A804" s="24"/>
      <c r="B804" s="24"/>
      <c r="C804" s="24"/>
      <c r="D804" s="24"/>
      <c r="E804" s="24"/>
      <c r="F804" s="24"/>
    </row>
    <row r="805">
      <c r="A805" s="24"/>
      <c r="B805" s="24"/>
      <c r="C805" s="24"/>
      <c r="D805" s="24"/>
      <c r="E805" s="24"/>
      <c r="F805" s="24"/>
    </row>
    <row r="806">
      <c r="A806" s="24"/>
      <c r="B806" s="24"/>
      <c r="C806" s="24"/>
      <c r="D806" s="24"/>
      <c r="E806" s="24"/>
      <c r="F806" s="24"/>
    </row>
    <row r="807">
      <c r="A807" s="24"/>
      <c r="B807" s="24"/>
      <c r="C807" s="24"/>
      <c r="D807" s="24"/>
      <c r="E807" s="24"/>
      <c r="F807" s="24"/>
    </row>
    <row r="808">
      <c r="A808" s="24"/>
      <c r="B808" s="24"/>
      <c r="C808" s="24"/>
      <c r="D808" s="24"/>
      <c r="E808" s="24"/>
      <c r="F808" s="24"/>
    </row>
    <row r="809">
      <c r="A809" s="24"/>
      <c r="B809" s="24"/>
      <c r="C809" s="24"/>
      <c r="D809" s="24"/>
      <c r="E809" s="24"/>
      <c r="F809" s="24"/>
    </row>
    <row r="810">
      <c r="A810" s="24"/>
      <c r="B810" s="24"/>
      <c r="C810" s="24"/>
      <c r="D810" s="24"/>
      <c r="E810" s="24"/>
      <c r="F810" s="24"/>
    </row>
    <row r="811">
      <c r="A811" s="24"/>
      <c r="B811" s="24"/>
      <c r="C811" s="24"/>
      <c r="D811" s="24"/>
      <c r="E811" s="24"/>
      <c r="F811" s="24"/>
    </row>
    <row r="812">
      <c r="A812" s="24"/>
      <c r="B812" s="24"/>
      <c r="C812" s="24"/>
      <c r="D812" s="24"/>
      <c r="E812" s="24"/>
      <c r="F812" s="24"/>
    </row>
    <row r="813">
      <c r="A813" s="24"/>
      <c r="B813" s="24"/>
      <c r="C813" s="24"/>
      <c r="D813" s="24"/>
      <c r="E813" s="24"/>
      <c r="F813" s="24"/>
    </row>
    <row r="814">
      <c r="A814" s="24"/>
      <c r="B814" s="24"/>
      <c r="C814" s="24"/>
      <c r="D814" s="24"/>
      <c r="E814" s="24"/>
      <c r="F814" s="24"/>
    </row>
    <row r="815">
      <c r="A815" s="24"/>
      <c r="B815" s="24"/>
      <c r="C815" s="24"/>
      <c r="D815" s="24"/>
      <c r="E815" s="24"/>
      <c r="F815" s="24"/>
    </row>
    <row r="816">
      <c r="A816" s="24"/>
      <c r="B816" s="24"/>
      <c r="C816" s="24"/>
      <c r="D816" s="24"/>
      <c r="E816" s="24"/>
      <c r="F816" s="24"/>
    </row>
    <row r="817">
      <c r="A817" s="24"/>
      <c r="B817" s="24"/>
      <c r="C817" s="24"/>
      <c r="D817" s="24"/>
      <c r="E817" s="24"/>
      <c r="F817" s="24"/>
    </row>
    <row r="818">
      <c r="A818" s="24"/>
      <c r="B818" s="24"/>
      <c r="C818" s="24"/>
      <c r="D818" s="24"/>
      <c r="E818" s="24"/>
      <c r="F818" s="24"/>
    </row>
    <row r="819">
      <c r="A819" s="24"/>
      <c r="B819" s="24"/>
      <c r="C819" s="24"/>
      <c r="D819" s="24"/>
      <c r="E819" s="24"/>
      <c r="F819" s="24"/>
    </row>
    <row r="820">
      <c r="A820" s="24"/>
      <c r="B820" s="24"/>
      <c r="C820" s="24"/>
      <c r="D820" s="24"/>
      <c r="E820" s="24"/>
      <c r="F820" s="24"/>
    </row>
    <row r="821">
      <c r="A821" s="24"/>
      <c r="B821" s="24"/>
      <c r="C821" s="24"/>
      <c r="D821" s="24"/>
      <c r="E821" s="24"/>
      <c r="F821" s="24"/>
    </row>
    <row r="822">
      <c r="A822" s="24"/>
      <c r="B822" s="24"/>
      <c r="C822" s="24"/>
      <c r="D822" s="24"/>
      <c r="E822" s="24"/>
      <c r="F822" s="24"/>
    </row>
    <row r="823">
      <c r="A823" s="24"/>
      <c r="B823" s="24"/>
      <c r="C823" s="24"/>
      <c r="D823" s="24"/>
      <c r="E823" s="24"/>
      <c r="F823" s="24"/>
    </row>
    <row r="824">
      <c r="A824" s="24"/>
      <c r="B824" s="24"/>
      <c r="C824" s="24"/>
      <c r="D824" s="24"/>
      <c r="E824" s="24"/>
      <c r="F824" s="24"/>
    </row>
    <row r="825">
      <c r="A825" s="24"/>
      <c r="B825" s="24"/>
      <c r="C825" s="24"/>
      <c r="D825" s="24"/>
      <c r="E825" s="24"/>
      <c r="F825" s="24"/>
    </row>
    <row r="826">
      <c r="A826" s="24"/>
      <c r="B826" s="24"/>
      <c r="C826" s="24"/>
      <c r="D826" s="24"/>
      <c r="E826" s="24"/>
      <c r="F826" s="24"/>
    </row>
    <row r="827">
      <c r="A827" s="24"/>
      <c r="B827" s="24"/>
      <c r="C827" s="24"/>
      <c r="D827" s="24"/>
      <c r="E827" s="24"/>
      <c r="F827" s="24"/>
    </row>
    <row r="828">
      <c r="A828" s="24"/>
      <c r="B828" s="24"/>
      <c r="C828" s="24"/>
      <c r="D828" s="24"/>
      <c r="E828" s="24"/>
      <c r="F828" s="24"/>
    </row>
    <row r="829">
      <c r="A829" s="24"/>
      <c r="B829" s="24"/>
      <c r="C829" s="24"/>
      <c r="D829" s="24"/>
      <c r="E829" s="24"/>
      <c r="F829" s="24"/>
    </row>
    <row r="830">
      <c r="A830" s="24"/>
      <c r="B830" s="24"/>
      <c r="C830" s="24"/>
      <c r="D830" s="24"/>
      <c r="E830" s="24"/>
      <c r="F830" s="24"/>
    </row>
    <row r="831">
      <c r="A831" s="24"/>
      <c r="B831" s="24"/>
      <c r="C831" s="24"/>
      <c r="D831" s="24"/>
      <c r="E831" s="24"/>
      <c r="F831" s="24"/>
    </row>
    <row r="832">
      <c r="A832" s="24"/>
      <c r="B832" s="24"/>
      <c r="C832" s="24"/>
      <c r="D832" s="24"/>
      <c r="E832" s="24"/>
      <c r="F832" s="24"/>
    </row>
    <row r="833">
      <c r="A833" s="24"/>
      <c r="B833" s="24"/>
      <c r="C833" s="24"/>
      <c r="D833" s="24"/>
      <c r="E833" s="24"/>
      <c r="F833" s="24"/>
    </row>
    <row r="834">
      <c r="A834" s="24"/>
      <c r="B834" s="24"/>
      <c r="C834" s="24"/>
      <c r="D834" s="24"/>
      <c r="E834" s="24"/>
      <c r="F834" s="24"/>
    </row>
    <row r="835">
      <c r="A835" s="24"/>
      <c r="B835" s="24"/>
      <c r="C835" s="24"/>
      <c r="D835" s="24"/>
      <c r="E835" s="24"/>
      <c r="F835" s="24"/>
    </row>
    <row r="836">
      <c r="A836" s="24"/>
      <c r="B836" s="24"/>
      <c r="C836" s="24"/>
      <c r="D836" s="24"/>
      <c r="E836" s="24"/>
      <c r="F836" s="24"/>
    </row>
    <row r="837">
      <c r="A837" s="24"/>
      <c r="B837" s="24"/>
      <c r="C837" s="24"/>
      <c r="D837" s="24"/>
      <c r="E837" s="24"/>
      <c r="F837" s="24"/>
    </row>
    <row r="838">
      <c r="A838" s="24"/>
      <c r="B838" s="24"/>
      <c r="C838" s="24"/>
      <c r="D838" s="24"/>
      <c r="E838" s="24"/>
      <c r="F838" s="24"/>
    </row>
    <row r="839">
      <c r="A839" s="24"/>
      <c r="B839" s="24"/>
      <c r="C839" s="24"/>
      <c r="D839" s="24"/>
      <c r="E839" s="24"/>
      <c r="F839" s="24"/>
    </row>
    <row r="840">
      <c r="A840" s="24"/>
      <c r="B840" s="24"/>
      <c r="C840" s="24"/>
      <c r="D840" s="24"/>
      <c r="E840" s="24"/>
      <c r="F840" s="24"/>
    </row>
    <row r="841">
      <c r="A841" s="24"/>
      <c r="B841" s="24"/>
      <c r="C841" s="24"/>
      <c r="D841" s="24"/>
      <c r="E841" s="24"/>
      <c r="F841" s="24"/>
    </row>
    <row r="842">
      <c r="A842" s="24"/>
      <c r="B842" s="24"/>
      <c r="C842" s="24"/>
      <c r="D842" s="24"/>
      <c r="E842" s="24"/>
      <c r="F842" s="24"/>
    </row>
    <row r="843">
      <c r="A843" s="24"/>
      <c r="B843" s="24"/>
      <c r="C843" s="24"/>
      <c r="D843" s="24"/>
      <c r="E843" s="24"/>
      <c r="F843" s="24"/>
    </row>
    <row r="844">
      <c r="A844" s="24"/>
      <c r="B844" s="24"/>
      <c r="C844" s="24"/>
      <c r="D844" s="24"/>
      <c r="E844" s="24"/>
      <c r="F844" s="24"/>
    </row>
    <row r="845">
      <c r="A845" s="24"/>
      <c r="B845" s="24"/>
      <c r="C845" s="24"/>
      <c r="D845" s="24"/>
      <c r="E845" s="24"/>
      <c r="F845" s="24"/>
    </row>
    <row r="846">
      <c r="A846" s="24"/>
      <c r="B846" s="24"/>
      <c r="C846" s="24"/>
      <c r="D846" s="24"/>
      <c r="E846" s="24"/>
      <c r="F846" s="24"/>
    </row>
    <row r="847">
      <c r="A847" s="24"/>
      <c r="B847" s="24"/>
      <c r="C847" s="24"/>
      <c r="D847" s="24"/>
      <c r="E847" s="24"/>
      <c r="F847" s="24"/>
    </row>
    <row r="848">
      <c r="A848" s="24"/>
      <c r="B848" s="24"/>
      <c r="C848" s="24"/>
      <c r="D848" s="24"/>
      <c r="E848" s="24"/>
      <c r="F848" s="24"/>
    </row>
    <row r="849">
      <c r="A849" s="24"/>
      <c r="B849" s="24"/>
      <c r="C849" s="24"/>
      <c r="D849" s="24"/>
      <c r="E849" s="24"/>
      <c r="F849" s="24"/>
    </row>
    <row r="850">
      <c r="A850" s="24"/>
      <c r="B850" s="24"/>
      <c r="C850" s="24"/>
      <c r="D850" s="24"/>
      <c r="E850" s="24"/>
      <c r="F850" s="24"/>
    </row>
    <row r="851">
      <c r="A851" s="24"/>
      <c r="B851" s="24"/>
      <c r="C851" s="24"/>
      <c r="D851" s="24"/>
      <c r="E851" s="24"/>
      <c r="F851" s="24"/>
    </row>
    <row r="852">
      <c r="A852" s="24"/>
      <c r="B852" s="24"/>
      <c r="C852" s="24"/>
      <c r="D852" s="24"/>
      <c r="E852" s="24"/>
      <c r="F852" s="24"/>
    </row>
    <row r="853">
      <c r="A853" s="24"/>
      <c r="B853" s="24"/>
      <c r="C853" s="24"/>
      <c r="D853" s="24"/>
      <c r="E853" s="24"/>
      <c r="F853" s="24"/>
    </row>
    <row r="854">
      <c r="A854" s="24"/>
      <c r="B854" s="24"/>
      <c r="C854" s="24"/>
      <c r="D854" s="24"/>
      <c r="E854" s="24"/>
      <c r="F854" s="24"/>
    </row>
    <row r="855">
      <c r="A855" s="24"/>
      <c r="B855" s="24"/>
      <c r="C855" s="24"/>
      <c r="D855" s="24"/>
      <c r="E855" s="24"/>
      <c r="F855" s="24"/>
    </row>
    <row r="856">
      <c r="A856" s="24"/>
      <c r="B856" s="24"/>
      <c r="C856" s="24"/>
      <c r="D856" s="24"/>
      <c r="E856" s="24"/>
      <c r="F856" s="24"/>
    </row>
    <row r="857">
      <c r="A857" s="24"/>
      <c r="B857" s="24"/>
      <c r="C857" s="24"/>
      <c r="D857" s="24"/>
      <c r="E857" s="24"/>
      <c r="F857" s="24"/>
    </row>
    <row r="858">
      <c r="A858" s="24"/>
      <c r="B858" s="24"/>
      <c r="C858" s="24"/>
      <c r="D858" s="24"/>
      <c r="E858" s="24"/>
      <c r="F858" s="24"/>
    </row>
    <row r="859">
      <c r="A859" s="24"/>
      <c r="B859" s="24"/>
      <c r="C859" s="24"/>
      <c r="D859" s="24"/>
      <c r="E859" s="24"/>
      <c r="F859" s="24"/>
    </row>
    <row r="860">
      <c r="A860" s="24"/>
      <c r="B860" s="24"/>
      <c r="C860" s="24"/>
      <c r="D860" s="24"/>
      <c r="E860" s="24"/>
      <c r="F860" s="24"/>
    </row>
    <row r="861">
      <c r="A861" s="24"/>
      <c r="B861" s="24"/>
      <c r="C861" s="24"/>
      <c r="D861" s="24"/>
      <c r="E861" s="24"/>
      <c r="F861" s="24"/>
    </row>
    <row r="862">
      <c r="A862" s="24"/>
      <c r="B862" s="24"/>
      <c r="C862" s="24"/>
      <c r="D862" s="24"/>
      <c r="E862" s="24"/>
      <c r="F862" s="24"/>
    </row>
    <row r="863">
      <c r="A863" s="24"/>
      <c r="B863" s="24"/>
      <c r="C863" s="24"/>
      <c r="D863" s="24"/>
      <c r="E863" s="24"/>
      <c r="F863" s="24"/>
    </row>
    <row r="864">
      <c r="A864" s="24"/>
      <c r="B864" s="24"/>
      <c r="C864" s="24"/>
      <c r="D864" s="24"/>
      <c r="E864" s="24"/>
      <c r="F864" s="24"/>
    </row>
    <row r="865">
      <c r="A865" s="24"/>
      <c r="B865" s="24"/>
      <c r="C865" s="24"/>
      <c r="D865" s="24"/>
      <c r="E865" s="24"/>
      <c r="F865" s="24"/>
    </row>
    <row r="866">
      <c r="A866" s="24"/>
      <c r="B866" s="24"/>
      <c r="C866" s="24"/>
      <c r="D866" s="24"/>
      <c r="E866" s="24"/>
      <c r="F866" s="24"/>
    </row>
    <row r="867">
      <c r="A867" s="24"/>
      <c r="B867" s="24"/>
      <c r="C867" s="24"/>
      <c r="D867" s="24"/>
      <c r="E867" s="24"/>
      <c r="F867" s="24"/>
    </row>
    <row r="868">
      <c r="A868" s="24"/>
      <c r="B868" s="24"/>
      <c r="C868" s="24"/>
      <c r="D868" s="24"/>
      <c r="E868" s="24"/>
      <c r="F868" s="24"/>
    </row>
    <row r="869">
      <c r="A869" s="24"/>
      <c r="B869" s="24"/>
      <c r="C869" s="24"/>
      <c r="D869" s="24"/>
      <c r="E869" s="24"/>
      <c r="F869" s="24"/>
    </row>
    <row r="870">
      <c r="A870" s="24"/>
      <c r="B870" s="24"/>
      <c r="C870" s="24"/>
      <c r="D870" s="24"/>
      <c r="E870" s="24"/>
      <c r="F870" s="24"/>
    </row>
    <row r="871">
      <c r="A871" s="24"/>
      <c r="B871" s="24"/>
      <c r="C871" s="24"/>
      <c r="D871" s="24"/>
      <c r="E871" s="24"/>
      <c r="F871" s="24"/>
    </row>
    <row r="872">
      <c r="A872" s="24"/>
      <c r="B872" s="24"/>
      <c r="C872" s="24"/>
      <c r="D872" s="24"/>
      <c r="E872" s="24"/>
      <c r="F872" s="24"/>
    </row>
    <row r="873">
      <c r="A873" s="24"/>
      <c r="B873" s="24"/>
      <c r="C873" s="24"/>
      <c r="D873" s="24"/>
      <c r="E873" s="24"/>
      <c r="F873" s="24"/>
    </row>
    <row r="874">
      <c r="A874" s="24"/>
      <c r="B874" s="24"/>
      <c r="C874" s="24"/>
      <c r="D874" s="24"/>
      <c r="E874" s="24"/>
      <c r="F874" s="24"/>
    </row>
    <row r="875">
      <c r="A875" s="24"/>
      <c r="B875" s="24"/>
      <c r="C875" s="24"/>
      <c r="D875" s="24"/>
      <c r="E875" s="24"/>
      <c r="F875" s="24"/>
    </row>
    <row r="876">
      <c r="A876" s="24"/>
      <c r="B876" s="24"/>
      <c r="C876" s="24"/>
      <c r="D876" s="24"/>
      <c r="E876" s="24"/>
      <c r="F876" s="24"/>
    </row>
    <row r="877">
      <c r="A877" s="24"/>
      <c r="B877" s="24"/>
      <c r="C877" s="24"/>
      <c r="D877" s="24"/>
      <c r="E877" s="24"/>
      <c r="F877" s="24"/>
    </row>
    <row r="878">
      <c r="A878" s="24"/>
      <c r="B878" s="24"/>
      <c r="C878" s="24"/>
      <c r="D878" s="24"/>
      <c r="E878" s="24"/>
      <c r="F878" s="24"/>
    </row>
    <row r="879">
      <c r="A879" s="24"/>
      <c r="B879" s="24"/>
      <c r="C879" s="24"/>
      <c r="D879" s="24"/>
      <c r="E879" s="24"/>
      <c r="F879" s="24"/>
    </row>
    <row r="880">
      <c r="A880" s="24"/>
      <c r="B880" s="24"/>
      <c r="C880" s="24"/>
      <c r="D880" s="24"/>
      <c r="E880" s="24"/>
      <c r="F880" s="24"/>
    </row>
    <row r="881">
      <c r="A881" s="24"/>
      <c r="B881" s="24"/>
      <c r="C881" s="24"/>
      <c r="D881" s="24"/>
      <c r="E881" s="24"/>
      <c r="F881" s="24"/>
    </row>
    <row r="882">
      <c r="A882" s="24"/>
      <c r="B882" s="24"/>
      <c r="C882" s="24"/>
      <c r="D882" s="24"/>
      <c r="E882" s="24"/>
      <c r="F882" s="24"/>
    </row>
    <row r="883">
      <c r="A883" s="24"/>
      <c r="B883" s="24"/>
      <c r="C883" s="24"/>
      <c r="D883" s="24"/>
      <c r="E883" s="24"/>
      <c r="F883" s="24"/>
    </row>
    <row r="884">
      <c r="A884" s="24"/>
      <c r="B884" s="24"/>
      <c r="C884" s="24"/>
      <c r="D884" s="24"/>
      <c r="E884" s="24"/>
      <c r="F884" s="24"/>
    </row>
    <row r="885">
      <c r="A885" s="24"/>
      <c r="B885" s="24"/>
      <c r="C885" s="24"/>
      <c r="D885" s="24"/>
      <c r="E885" s="24"/>
      <c r="F885" s="24"/>
    </row>
    <row r="886">
      <c r="A886" s="24"/>
      <c r="B886" s="24"/>
      <c r="C886" s="24"/>
      <c r="D886" s="24"/>
      <c r="E886" s="24"/>
      <c r="F886" s="24"/>
    </row>
    <row r="887">
      <c r="A887" s="24"/>
      <c r="B887" s="24"/>
      <c r="C887" s="24"/>
      <c r="D887" s="24"/>
      <c r="E887" s="24"/>
      <c r="F887" s="24"/>
    </row>
    <row r="888">
      <c r="A888" s="24"/>
      <c r="B888" s="24"/>
      <c r="C888" s="24"/>
      <c r="D888" s="24"/>
      <c r="E888" s="24"/>
      <c r="F888" s="24"/>
    </row>
    <row r="889">
      <c r="A889" s="24"/>
      <c r="B889" s="24"/>
      <c r="C889" s="24"/>
      <c r="D889" s="24"/>
      <c r="E889" s="24"/>
      <c r="F889" s="24"/>
    </row>
    <row r="890">
      <c r="A890" s="24"/>
      <c r="B890" s="24"/>
      <c r="C890" s="24"/>
      <c r="D890" s="24"/>
      <c r="E890" s="24"/>
      <c r="F890" s="24"/>
    </row>
    <row r="891">
      <c r="A891" s="24"/>
      <c r="B891" s="24"/>
      <c r="C891" s="24"/>
      <c r="D891" s="24"/>
      <c r="E891" s="24"/>
      <c r="F891" s="24"/>
    </row>
    <row r="892">
      <c r="A892" s="24"/>
      <c r="B892" s="24"/>
      <c r="C892" s="24"/>
      <c r="D892" s="24"/>
      <c r="E892" s="24"/>
      <c r="F892" s="24"/>
    </row>
    <row r="893">
      <c r="A893" s="24"/>
      <c r="B893" s="24"/>
      <c r="C893" s="24"/>
      <c r="D893" s="24"/>
      <c r="E893" s="24"/>
      <c r="F893" s="24"/>
    </row>
    <row r="894">
      <c r="A894" s="24"/>
      <c r="B894" s="24"/>
      <c r="C894" s="24"/>
      <c r="D894" s="24"/>
      <c r="E894" s="24"/>
      <c r="F894" s="24"/>
    </row>
    <row r="895">
      <c r="A895" s="24"/>
      <c r="B895" s="24"/>
      <c r="C895" s="24"/>
      <c r="D895" s="24"/>
      <c r="E895" s="24"/>
      <c r="F895" s="24"/>
    </row>
    <row r="896">
      <c r="A896" s="24"/>
      <c r="B896" s="24"/>
      <c r="C896" s="24"/>
      <c r="D896" s="24"/>
      <c r="E896" s="24"/>
      <c r="F896" s="24"/>
    </row>
    <row r="897">
      <c r="A897" s="24"/>
      <c r="B897" s="24"/>
      <c r="C897" s="24"/>
      <c r="D897" s="24"/>
      <c r="E897" s="24"/>
      <c r="F897" s="24"/>
    </row>
    <row r="898">
      <c r="A898" s="24"/>
      <c r="B898" s="24"/>
      <c r="C898" s="24"/>
      <c r="D898" s="24"/>
      <c r="E898" s="24"/>
      <c r="F898" s="24"/>
    </row>
    <row r="899">
      <c r="A899" s="24"/>
      <c r="B899" s="24"/>
      <c r="C899" s="24"/>
      <c r="D899" s="24"/>
      <c r="E899" s="24"/>
      <c r="F899" s="24"/>
    </row>
    <row r="900">
      <c r="A900" s="24"/>
      <c r="B900" s="24"/>
      <c r="C900" s="24"/>
      <c r="D900" s="24"/>
      <c r="E900" s="24"/>
      <c r="F900" s="24"/>
    </row>
    <row r="901">
      <c r="A901" s="24"/>
      <c r="B901" s="24"/>
      <c r="C901" s="24"/>
      <c r="D901" s="24"/>
      <c r="E901" s="24"/>
      <c r="F901" s="24"/>
    </row>
    <row r="902">
      <c r="A902" s="24"/>
      <c r="B902" s="24"/>
      <c r="C902" s="24"/>
      <c r="D902" s="24"/>
      <c r="E902" s="24"/>
      <c r="F902" s="24"/>
    </row>
    <row r="903">
      <c r="A903" s="24"/>
      <c r="B903" s="24"/>
      <c r="C903" s="24"/>
      <c r="D903" s="24"/>
      <c r="E903" s="24"/>
      <c r="F903" s="24"/>
    </row>
    <row r="904">
      <c r="A904" s="24"/>
      <c r="B904" s="24"/>
      <c r="C904" s="24"/>
      <c r="D904" s="24"/>
      <c r="E904" s="24"/>
      <c r="F904" s="24"/>
    </row>
    <row r="905">
      <c r="A905" s="24"/>
      <c r="B905" s="24"/>
      <c r="C905" s="24"/>
      <c r="D905" s="24"/>
      <c r="E905" s="24"/>
      <c r="F905" s="24"/>
    </row>
    <row r="906">
      <c r="A906" s="24"/>
      <c r="B906" s="24"/>
      <c r="C906" s="24"/>
      <c r="D906" s="24"/>
      <c r="E906" s="24"/>
      <c r="F906" s="24"/>
    </row>
    <row r="907">
      <c r="A907" s="24"/>
      <c r="B907" s="24"/>
      <c r="C907" s="24"/>
      <c r="D907" s="24"/>
      <c r="E907" s="24"/>
      <c r="F907" s="24"/>
    </row>
    <row r="908">
      <c r="A908" s="24"/>
      <c r="B908" s="24"/>
      <c r="C908" s="24"/>
      <c r="D908" s="24"/>
      <c r="E908" s="24"/>
      <c r="F908" s="24"/>
    </row>
    <row r="909">
      <c r="A909" s="24"/>
      <c r="B909" s="24"/>
      <c r="C909" s="24"/>
      <c r="D909" s="24"/>
      <c r="E909" s="24"/>
      <c r="F909" s="24"/>
    </row>
    <row r="910">
      <c r="A910" s="24"/>
      <c r="B910" s="24"/>
      <c r="C910" s="24"/>
      <c r="D910" s="24"/>
      <c r="E910" s="24"/>
      <c r="F910" s="24"/>
    </row>
    <row r="911">
      <c r="A911" s="24"/>
      <c r="B911" s="24"/>
      <c r="C911" s="24"/>
      <c r="D911" s="24"/>
      <c r="E911" s="24"/>
      <c r="F911" s="24"/>
    </row>
    <row r="912">
      <c r="A912" s="24"/>
      <c r="B912" s="24"/>
      <c r="C912" s="24"/>
      <c r="D912" s="24"/>
      <c r="E912" s="24"/>
      <c r="F912" s="24"/>
    </row>
    <row r="913">
      <c r="A913" s="24"/>
      <c r="B913" s="24"/>
      <c r="C913" s="24"/>
      <c r="D913" s="24"/>
      <c r="E913" s="24"/>
      <c r="F913" s="24"/>
    </row>
    <row r="914">
      <c r="A914" s="24"/>
      <c r="B914" s="24"/>
      <c r="C914" s="24"/>
      <c r="D914" s="24"/>
      <c r="E914" s="24"/>
      <c r="F914" s="24"/>
    </row>
    <row r="915">
      <c r="A915" s="24"/>
      <c r="B915" s="24"/>
      <c r="C915" s="24"/>
      <c r="D915" s="24"/>
      <c r="E915" s="24"/>
      <c r="F915" s="24"/>
    </row>
    <row r="916">
      <c r="A916" s="24"/>
      <c r="B916" s="24"/>
      <c r="C916" s="24"/>
      <c r="D916" s="24"/>
      <c r="E916" s="24"/>
      <c r="F916" s="24"/>
    </row>
    <row r="917">
      <c r="A917" s="24"/>
      <c r="B917" s="24"/>
      <c r="C917" s="24"/>
      <c r="D917" s="24"/>
      <c r="E917" s="24"/>
      <c r="F917" s="24"/>
    </row>
    <row r="918">
      <c r="A918" s="24"/>
      <c r="B918" s="24"/>
      <c r="C918" s="24"/>
      <c r="D918" s="24"/>
      <c r="E918" s="24"/>
      <c r="F918" s="24"/>
    </row>
    <row r="919">
      <c r="A919" s="24"/>
      <c r="B919" s="24"/>
      <c r="C919" s="24"/>
      <c r="D919" s="24"/>
      <c r="E919" s="24"/>
      <c r="F919" s="24"/>
    </row>
    <row r="920">
      <c r="A920" s="24"/>
      <c r="B920" s="24"/>
      <c r="C920" s="24"/>
      <c r="D920" s="24"/>
      <c r="E920" s="24"/>
      <c r="F920" s="24"/>
    </row>
    <row r="921">
      <c r="A921" s="24"/>
      <c r="B921" s="24"/>
      <c r="C921" s="24"/>
      <c r="D921" s="24"/>
      <c r="E921" s="24"/>
      <c r="F921" s="24"/>
    </row>
    <row r="922">
      <c r="A922" s="24"/>
      <c r="B922" s="24"/>
      <c r="C922" s="24"/>
      <c r="D922" s="24"/>
      <c r="E922" s="24"/>
      <c r="F922" s="24"/>
    </row>
    <row r="923">
      <c r="A923" s="24"/>
      <c r="B923" s="24"/>
      <c r="C923" s="24"/>
      <c r="D923" s="24"/>
      <c r="E923" s="24"/>
      <c r="F923" s="24"/>
    </row>
    <row r="924">
      <c r="A924" s="24"/>
      <c r="B924" s="24"/>
      <c r="C924" s="24"/>
      <c r="D924" s="24"/>
      <c r="E924" s="24"/>
      <c r="F924" s="24"/>
    </row>
    <row r="925">
      <c r="A925" s="24"/>
      <c r="B925" s="24"/>
      <c r="C925" s="24"/>
      <c r="D925" s="24"/>
      <c r="E925" s="24"/>
      <c r="F925" s="24"/>
    </row>
    <row r="926">
      <c r="A926" s="24"/>
      <c r="B926" s="24"/>
      <c r="C926" s="24"/>
      <c r="D926" s="24"/>
      <c r="E926" s="24"/>
      <c r="F926" s="24"/>
    </row>
    <row r="927">
      <c r="A927" s="24"/>
      <c r="B927" s="24"/>
      <c r="C927" s="24"/>
      <c r="D927" s="24"/>
      <c r="E927" s="24"/>
      <c r="F927" s="24"/>
    </row>
    <row r="928">
      <c r="A928" s="24"/>
      <c r="B928" s="24"/>
      <c r="C928" s="24"/>
      <c r="D928" s="24"/>
      <c r="E928" s="24"/>
      <c r="F928" s="24"/>
    </row>
    <row r="929">
      <c r="A929" s="24"/>
      <c r="B929" s="24"/>
      <c r="C929" s="24"/>
      <c r="D929" s="24"/>
      <c r="E929" s="24"/>
      <c r="F929" s="24"/>
    </row>
    <row r="930">
      <c r="A930" s="24"/>
      <c r="B930" s="24"/>
      <c r="C930" s="24"/>
      <c r="D930" s="24"/>
      <c r="E930" s="24"/>
      <c r="F930" s="24"/>
    </row>
    <row r="931">
      <c r="A931" s="24"/>
      <c r="B931" s="24"/>
      <c r="C931" s="24"/>
      <c r="D931" s="24"/>
      <c r="E931" s="24"/>
      <c r="F931" s="24"/>
    </row>
    <row r="932">
      <c r="A932" s="24"/>
      <c r="B932" s="24"/>
      <c r="C932" s="24"/>
      <c r="D932" s="24"/>
      <c r="E932" s="24"/>
      <c r="F932" s="24"/>
    </row>
    <row r="933">
      <c r="A933" s="24"/>
      <c r="B933" s="24"/>
      <c r="C933" s="24"/>
      <c r="D933" s="24"/>
      <c r="E933" s="24"/>
      <c r="F933" s="24"/>
    </row>
    <row r="934">
      <c r="A934" s="24"/>
      <c r="B934" s="24"/>
      <c r="C934" s="24"/>
      <c r="D934" s="24"/>
      <c r="E934" s="24"/>
      <c r="F934" s="24"/>
    </row>
    <row r="935">
      <c r="A935" s="24"/>
      <c r="B935" s="24"/>
      <c r="C935" s="24"/>
      <c r="D935" s="24"/>
      <c r="E935" s="24"/>
      <c r="F935" s="24"/>
    </row>
    <row r="936">
      <c r="A936" s="24"/>
      <c r="B936" s="24"/>
      <c r="C936" s="24"/>
      <c r="D936" s="24"/>
      <c r="E936" s="24"/>
      <c r="F936" s="24"/>
    </row>
    <row r="937">
      <c r="A937" s="24"/>
      <c r="B937" s="24"/>
      <c r="C937" s="24"/>
      <c r="D937" s="24"/>
      <c r="E937" s="24"/>
      <c r="F937" s="24"/>
    </row>
    <row r="938">
      <c r="A938" s="24"/>
      <c r="B938" s="24"/>
      <c r="C938" s="24"/>
      <c r="D938" s="24"/>
      <c r="E938" s="24"/>
      <c r="F938" s="24"/>
    </row>
    <row r="939">
      <c r="A939" s="24"/>
      <c r="B939" s="24"/>
      <c r="C939" s="24"/>
      <c r="D939" s="24"/>
      <c r="E939" s="24"/>
      <c r="F939" s="24"/>
    </row>
    <row r="940">
      <c r="A940" s="24"/>
      <c r="B940" s="24"/>
      <c r="C940" s="24"/>
      <c r="D940" s="24"/>
      <c r="E940" s="24"/>
      <c r="F940" s="24"/>
    </row>
    <row r="941">
      <c r="A941" s="24"/>
      <c r="B941" s="24"/>
      <c r="C941" s="24"/>
      <c r="D941" s="24"/>
      <c r="E941" s="24"/>
      <c r="F941" s="24"/>
    </row>
    <row r="942">
      <c r="A942" s="24"/>
      <c r="B942" s="24"/>
      <c r="C942" s="24"/>
      <c r="D942" s="24"/>
      <c r="E942" s="24"/>
      <c r="F942" s="24"/>
    </row>
    <row r="943">
      <c r="A943" s="24"/>
      <c r="B943" s="24"/>
      <c r="C943" s="24"/>
      <c r="D943" s="24"/>
      <c r="E943" s="24"/>
      <c r="F943" s="24"/>
    </row>
    <row r="944">
      <c r="A944" s="24"/>
      <c r="B944" s="24"/>
      <c r="C944" s="24"/>
      <c r="D944" s="24"/>
      <c r="E944" s="24"/>
      <c r="F944" s="24"/>
    </row>
    <row r="945">
      <c r="A945" s="24"/>
      <c r="B945" s="24"/>
      <c r="C945" s="24"/>
      <c r="D945" s="24"/>
      <c r="E945" s="24"/>
      <c r="F945" s="24"/>
    </row>
    <row r="946">
      <c r="A946" s="24"/>
      <c r="B946" s="24"/>
      <c r="C946" s="24"/>
      <c r="D946" s="24"/>
      <c r="E946" s="24"/>
      <c r="F946" s="24"/>
    </row>
    <row r="947">
      <c r="A947" s="24"/>
      <c r="B947" s="24"/>
      <c r="C947" s="24"/>
      <c r="D947" s="24"/>
      <c r="E947" s="24"/>
      <c r="F947" s="24"/>
    </row>
    <row r="948">
      <c r="A948" s="24"/>
      <c r="B948" s="24"/>
      <c r="C948" s="24"/>
      <c r="D948" s="24"/>
      <c r="E948" s="24"/>
      <c r="F948" s="24"/>
    </row>
    <row r="949">
      <c r="A949" s="24"/>
      <c r="B949" s="24"/>
      <c r="C949" s="24"/>
      <c r="D949" s="24"/>
      <c r="E949" s="24"/>
      <c r="F949" s="24"/>
    </row>
    <row r="950">
      <c r="A950" s="24"/>
      <c r="B950" s="24"/>
      <c r="C950" s="24"/>
      <c r="D950" s="24"/>
      <c r="E950" s="24"/>
      <c r="F950" s="24"/>
    </row>
    <row r="951">
      <c r="A951" s="24"/>
      <c r="B951" s="24"/>
      <c r="C951" s="24"/>
      <c r="D951" s="24"/>
      <c r="E951" s="24"/>
      <c r="F951" s="24"/>
    </row>
    <row r="952">
      <c r="A952" s="24"/>
      <c r="B952" s="24"/>
      <c r="C952" s="24"/>
      <c r="D952" s="24"/>
      <c r="E952" s="24"/>
      <c r="F952" s="24"/>
    </row>
    <row r="953">
      <c r="A953" s="24"/>
      <c r="B953" s="24"/>
      <c r="C953" s="24"/>
      <c r="D953" s="24"/>
      <c r="E953" s="24"/>
      <c r="F953" s="24"/>
    </row>
    <row r="954">
      <c r="A954" s="24"/>
      <c r="B954" s="24"/>
      <c r="C954" s="24"/>
      <c r="D954" s="24"/>
      <c r="E954" s="24"/>
      <c r="F954" s="24"/>
    </row>
    <row r="955">
      <c r="A955" s="24"/>
      <c r="B955" s="24"/>
      <c r="C955" s="24"/>
      <c r="D955" s="24"/>
      <c r="E955" s="24"/>
      <c r="F955" s="24"/>
    </row>
    <row r="956">
      <c r="A956" s="24"/>
      <c r="B956" s="24"/>
      <c r="C956" s="24"/>
      <c r="D956" s="24"/>
      <c r="E956" s="24"/>
      <c r="F956" s="24"/>
    </row>
    <row r="957">
      <c r="A957" s="24"/>
      <c r="B957" s="24"/>
      <c r="C957" s="24"/>
      <c r="D957" s="24"/>
      <c r="E957" s="24"/>
      <c r="F957" s="24"/>
    </row>
    <row r="958">
      <c r="A958" s="24"/>
      <c r="B958" s="24"/>
      <c r="C958" s="24"/>
      <c r="D958" s="24"/>
      <c r="E958" s="24"/>
      <c r="F958" s="24"/>
    </row>
    <row r="959">
      <c r="A959" s="24"/>
      <c r="B959" s="24"/>
      <c r="C959" s="24"/>
      <c r="D959" s="24"/>
      <c r="E959" s="24"/>
      <c r="F959" s="24"/>
    </row>
    <row r="960">
      <c r="A960" s="24"/>
      <c r="B960" s="24"/>
      <c r="C960" s="24"/>
      <c r="D960" s="24"/>
      <c r="E960" s="24"/>
      <c r="F960" s="24"/>
    </row>
    <row r="961">
      <c r="A961" s="24"/>
      <c r="B961" s="24"/>
      <c r="C961" s="24"/>
      <c r="D961" s="24"/>
      <c r="E961" s="24"/>
      <c r="F961" s="24"/>
    </row>
    <row r="962">
      <c r="A962" s="24"/>
      <c r="B962" s="24"/>
      <c r="C962" s="24"/>
      <c r="D962" s="24"/>
      <c r="E962" s="24"/>
      <c r="F962" s="24"/>
    </row>
    <row r="963">
      <c r="A963" s="24"/>
      <c r="B963" s="24"/>
      <c r="C963" s="24"/>
      <c r="D963" s="24"/>
      <c r="E963" s="24"/>
      <c r="F963" s="24"/>
    </row>
    <row r="964">
      <c r="A964" s="24"/>
      <c r="B964" s="24"/>
      <c r="C964" s="24"/>
      <c r="D964" s="24"/>
      <c r="E964" s="24"/>
      <c r="F964" s="24"/>
    </row>
    <row r="965">
      <c r="A965" s="24"/>
      <c r="B965" s="24"/>
      <c r="C965" s="24"/>
      <c r="D965" s="24"/>
      <c r="E965" s="24"/>
      <c r="F965" s="24"/>
    </row>
    <row r="966">
      <c r="A966" s="24"/>
      <c r="B966" s="24"/>
      <c r="C966" s="24"/>
      <c r="D966" s="24"/>
      <c r="E966" s="24"/>
      <c r="F966" s="24"/>
    </row>
    <row r="967">
      <c r="A967" s="24"/>
      <c r="B967" s="24"/>
      <c r="C967" s="24"/>
      <c r="D967" s="24"/>
      <c r="E967" s="24"/>
      <c r="F967" s="24"/>
    </row>
    <row r="968">
      <c r="A968" s="24"/>
      <c r="B968" s="24"/>
      <c r="C968" s="24"/>
      <c r="D968" s="24"/>
      <c r="E968" s="24"/>
      <c r="F968" s="24"/>
    </row>
    <row r="969">
      <c r="A969" s="24"/>
      <c r="B969" s="24"/>
      <c r="C969" s="24"/>
      <c r="D969" s="24"/>
      <c r="E969" s="24"/>
      <c r="F969" s="24"/>
    </row>
    <row r="970">
      <c r="A970" s="24"/>
      <c r="B970" s="24"/>
      <c r="C970" s="24"/>
      <c r="D970" s="24"/>
      <c r="E970" s="24"/>
      <c r="F970" s="24"/>
    </row>
    <row r="971">
      <c r="A971" s="24"/>
      <c r="B971" s="24"/>
      <c r="C971" s="24"/>
      <c r="D971" s="24"/>
      <c r="E971" s="24"/>
      <c r="F971" s="24"/>
    </row>
    <row r="972">
      <c r="A972" s="24"/>
      <c r="B972" s="24"/>
      <c r="C972" s="24"/>
      <c r="D972" s="24"/>
      <c r="E972" s="24"/>
      <c r="F972" s="24"/>
    </row>
    <row r="973">
      <c r="A973" s="24"/>
      <c r="B973" s="24"/>
      <c r="C973" s="24"/>
      <c r="D973" s="24"/>
      <c r="E973" s="24"/>
      <c r="F973" s="24"/>
    </row>
    <row r="974">
      <c r="A974" s="24"/>
      <c r="B974" s="24"/>
      <c r="C974" s="24"/>
      <c r="D974" s="24"/>
      <c r="E974" s="24"/>
      <c r="F974" s="24"/>
    </row>
    <row r="975">
      <c r="A975" s="24"/>
      <c r="B975" s="24"/>
      <c r="C975" s="24"/>
      <c r="D975" s="24"/>
      <c r="E975" s="24"/>
      <c r="F975" s="24"/>
    </row>
    <row r="976">
      <c r="A976" s="24"/>
      <c r="B976" s="24"/>
      <c r="C976" s="24"/>
      <c r="D976" s="24"/>
      <c r="E976" s="24"/>
      <c r="F976" s="24"/>
    </row>
    <row r="977">
      <c r="A977" s="24"/>
      <c r="B977" s="24"/>
      <c r="C977" s="24"/>
      <c r="D977" s="24"/>
      <c r="E977" s="24"/>
      <c r="F977" s="24"/>
    </row>
    <row r="978">
      <c r="A978" s="24"/>
      <c r="B978" s="24"/>
      <c r="C978" s="24"/>
      <c r="D978" s="24"/>
      <c r="E978" s="24"/>
      <c r="F978" s="24"/>
    </row>
    <row r="979">
      <c r="A979" s="24"/>
      <c r="B979" s="24"/>
      <c r="C979" s="24"/>
      <c r="D979" s="24"/>
      <c r="E979" s="24"/>
      <c r="F979" s="24"/>
    </row>
    <row r="980">
      <c r="A980" s="24"/>
      <c r="B980" s="24"/>
      <c r="C980" s="24"/>
      <c r="D980" s="24"/>
      <c r="E980" s="24"/>
      <c r="F980" s="24"/>
    </row>
    <row r="981">
      <c r="A981" s="24"/>
      <c r="B981" s="24"/>
      <c r="C981" s="24"/>
      <c r="D981" s="24"/>
      <c r="E981" s="24"/>
      <c r="F981" s="24"/>
    </row>
    <row r="982">
      <c r="A982" s="24"/>
      <c r="B982" s="24"/>
      <c r="C982" s="24"/>
      <c r="D982" s="24"/>
      <c r="E982" s="24"/>
      <c r="F982" s="24"/>
    </row>
    <row r="983">
      <c r="A983" s="24"/>
      <c r="B983" s="24"/>
      <c r="C983" s="24"/>
      <c r="D983" s="24"/>
      <c r="E983" s="24"/>
      <c r="F983" s="24"/>
    </row>
    <row r="984">
      <c r="A984" s="24"/>
      <c r="B984" s="24"/>
      <c r="C984" s="24"/>
      <c r="D984" s="24"/>
      <c r="E984" s="24"/>
      <c r="F984" s="24"/>
    </row>
    <row r="985">
      <c r="A985" s="24"/>
      <c r="B985" s="24"/>
      <c r="C985" s="24"/>
      <c r="D985" s="24"/>
      <c r="E985" s="24"/>
      <c r="F985" s="24"/>
    </row>
    <row r="986">
      <c r="A986" s="24"/>
      <c r="B986" s="24"/>
      <c r="C986" s="24"/>
      <c r="D986" s="24"/>
      <c r="E986" s="24"/>
      <c r="F986" s="24"/>
    </row>
    <row r="987">
      <c r="A987" s="24"/>
      <c r="B987" s="24"/>
      <c r="C987" s="24"/>
      <c r="D987" s="24"/>
      <c r="E987" s="24"/>
      <c r="F987" s="24"/>
    </row>
    <row r="988">
      <c r="A988" s="24"/>
      <c r="B988" s="24"/>
      <c r="C988" s="24"/>
      <c r="D988" s="24"/>
      <c r="E988" s="24"/>
      <c r="F988" s="24"/>
    </row>
    <row r="989">
      <c r="A989" s="24"/>
      <c r="B989" s="24"/>
      <c r="C989" s="24"/>
      <c r="D989" s="24"/>
      <c r="E989" s="24"/>
      <c r="F989" s="24"/>
    </row>
    <row r="990">
      <c r="A990" s="24"/>
      <c r="B990" s="24"/>
      <c r="C990" s="24"/>
      <c r="D990" s="24"/>
      <c r="E990" s="24"/>
      <c r="F990" s="24"/>
    </row>
    <row r="991">
      <c r="A991" s="24"/>
      <c r="B991" s="24"/>
      <c r="C991" s="24"/>
      <c r="D991" s="24"/>
      <c r="E991" s="24"/>
      <c r="F991" s="24"/>
    </row>
    <row r="992">
      <c r="A992" s="24"/>
      <c r="B992" s="24"/>
      <c r="C992" s="24"/>
      <c r="D992" s="24"/>
      <c r="E992" s="24"/>
      <c r="F992" s="24"/>
    </row>
    <row r="993">
      <c r="A993" s="24"/>
      <c r="B993" s="24"/>
      <c r="C993" s="24"/>
      <c r="D993" s="24"/>
      <c r="E993" s="24"/>
      <c r="F993" s="24"/>
    </row>
    <row r="994">
      <c r="A994" s="24"/>
      <c r="B994" s="24"/>
      <c r="C994" s="24"/>
      <c r="D994" s="24"/>
      <c r="E994" s="24"/>
      <c r="F994" s="24"/>
    </row>
    <row r="995">
      <c r="A995" s="24"/>
      <c r="B995" s="24"/>
      <c r="C995" s="24"/>
      <c r="D995" s="24"/>
      <c r="E995" s="24"/>
      <c r="F995" s="24"/>
    </row>
    <row r="996">
      <c r="A996" s="24"/>
      <c r="B996" s="24"/>
      <c r="C996" s="24"/>
      <c r="D996" s="24"/>
      <c r="E996" s="24"/>
      <c r="F996" s="24"/>
    </row>
    <row r="997">
      <c r="A997" s="24"/>
      <c r="B997" s="24"/>
      <c r="C997" s="24"/>
      <c r="D997" s="24"/>
      <c r="E997" s="24"/>
      <c r="F997" s="24"/>
    </row>
    <row r="998">
      <c r="A998" s="24"/>
      <c r="B998" s="24"/>
      <c r="C998" s="24"/>
      <c r="D998" s="24"/>
      <c r="E998" s="24"/>
      <c r="F998" s="24"/>
    </row>
    <row r="999">
      <c r="A999" s="24"/>
      <c r="B999" s="24"/>
      <c r="C999" s="24"/>
      <c r="D999" s="24"/>
      <c r="E999" s="24"/>
      <c r="F999" s="24"/>
    </row>
    <row r="1000">
      <c r="A1000" s="24"/>
      <c r="B1000" s="24"/>
      <c r="C1000" s="24"/>
      <c r="D1000" s="24"/>
      <c r="E1000" s="24"/>
      <c r="F1000" s="24"/>
    </row>
    <row r="1001">
      <c r="A1001" s="24"/>
      <c r="B1001" s="24"/>
      <c r="C1001" s="24"/>
      <c r="D1001" s="24"/>
      <c r="E1001" s="24"/>
      <c r="F1001" s="24"/>
    </row>
    <row r="1002">
      <c r="A1002" s="40" t="s">
        <v>758</v>
      </c>
      <c r="B1002" s="40" t="s">
        <v>134</v>
      </c>
      <c r="C1002" s="24" t="s">
        <v>64</v>
      </c>
      <c r="D1002" s="25"/>
      <c r="E1002" s="25">
        <v>46425.0</v>
      </c>
      <c r="F1002" s="24" t="s">
        <v>75</v>
      </c>
    </row>
    <row r="1003">
      <c r="A1003" s="40" t="s">
        <v>759</v>
      </c>
      <c r="B1003" s="40" t="s">
        <v>183</v>
      </c>
      <c r="C1003" s="24" t="s">
        <v>78</v>
      </c>
      <c r="D1003" s="25"/>
      <c r="E1003" s="25">
        <v>46412.0</v>
      </c>
      <c r="F1003" s="24" t="s">
        <v>75</v>
      </c>
    </row>
    <row r="1004">
      <c r="A1004" s="40" t="s">
        <v>16</v>
      </c>
      <c r="B1004" s="40" t="s">
        <v>203</v>
      </c>
      <c r="C1004" s="24" t="s">
        <v>83</v>
      </c>
      <c r="D1004" s="25"/>
      <c r="E1004" s="25"/>
      <c r="F1004" s="24" t="s">
        <v>75</v>
      </c>
    </row>
    <row r="1005">
      <c r="A1005" s="40" t="s">
        <v>760</v>
      </c>
      <c r="B1005" s="40" t="s">
        <v>209</v>
      </c>
      <c r="C1005" s="24" t="s">
        <v>64</v>
      </c>
      <c r="D1005" s="25"/>
      <c r="E1005" s="25">
        <v>46250.0</v>
      </c>
      <c r="F1005" s="24" t="s">
        <v>95</v>
      </c>
    </row>
    <row r="1006">
      <c r="A1006" s="40" t="s">
        <v>761</v>
      </c>
      <c r="B1006" s="40" t="s">
        <v>211</v>
      </c>
      <c r="C1006" s="24" t="s">
        <v>64</v>
      </c>
      <c r="D1006" s="25"/>
      <c r="E1006" s="25">
        <v>46279.0</v>
      </c>
      <c r="F1006" s="24" t="s">
        <v>80</v>
      </c>
    </row>
    <row r="1007">
      <c r="A1007" s="40" t="s">
        <v>763</v>
      </c>
      <c r="B1007" s="40" t="s">
        <v>215</v>
      </c>
      <c r="C1007" s="24" t="s">
        <v>64</v>
      </c>
      <c r="D1007" s="25"/>
      <c r="E1007" s="25">
        <v>46293.0</v>
      </c>
      <c r="F1007" s="24" t="s">
        <v>75</v>
      </c>
    </row>
    <row r="1008">
      <c r="A1008" s="40" t="s">
        <v>764</v>
      </c>
      <c r="B1008" s="40" t="s">
        <v>217</v>
      </c>
      <c r="C1008" s="24" t="s">
        <v>64</v>
      </c>
      <c r="D1008" s="25"/>
      <c r="E1008" s="25">
        <v>46320.0</v>
      </c>
      <c r="F1008" s="24" t="s">
        <v>75</v>
      </c>
    </row>
    <row r="1009">
      <c r="A1009" s="40" t="s">
        <v>765</v>
      </c>
      <c r="B1009" s="40" t="s">
        <v>220</v>
      </c>
      <c r="C1009" s="24" t="s">
        <v>64</v>
      </c>
      <c r="D1009" s="25"/>
      <c r="E1009" s="25">
        <v>46351.0</v>
      </c>
      <c r="F1009" s="24" t="s">
        <v>75</v>
      </c>
    </row>
    <row r="1010">
      <c r="A1010" s="40" t="s">
        <v>766</v>
      </c>
      <c r="B1010" s="40" t="s">
        <v>222</v>
      </c>
      <c r="C1010" s="24" t="s">
        <v>83</v>
      </c>
      <c r="D1010" s="25"/>
      <c r="E1010" s="25">
        <v>46235.0</v>
      </c>
      <c r="F1010" s="24" t="s">
        <v>85</v>
      </c>
    </row>
    <row r="1011">
      <c r="A1011" s="40" t="s">
        <v>19</v>
      </c>
      <c r="B1011" s="40" t="s">
        <v>226</v>
      </c>
      <c r="C1011" s="24" t="s">
        <v>83</v>
      </c>
      <c r="D1011" s="25"/>
      <c r="E1011" s="25"/>
      <c r="F1011" s="24" t="s">
        <v>75</v>
      </c>
    </row>
    <row r="1012">
      <c r="A1012" s="40" t="s">
        <v>21</v>
      </c>
      <c r="B1012" s="40" t="s">
        <v>228</v>
      </c>
      <c r="C1012" s="24" t="s">
        <v>83</v>
      </c>
      <c r="D1012" s="25"/>
      <c r="E1012" s="25"/>
      <c r="F1012" s="24" t="s">
        <v>75</v>
      </c>
    </row>
    <row r="1013">
      <c r="A1013" s="40" t="s">
        <v>23</v>
      </c>
      <c r="B1013" s="40" t="s">
        <v>229</v>
      </c>
      <c r="C1013" s="24" t="s">
        <v>83</v>
      </c>
      <c r="D1013" s="25"/>
      <c r="E1013" s="25"/>
      <c r="F1013" s="24" t="s">
        <v>75</v>
      </c>
    </row>
    <row r="1014">
      <c r="A1014" s="40" t="s">
        <v>768</v>
      </c>
      <c r="B1014" s="40" t="s">
        <v>230</v>
      </c>
      <c r="C1014" s="24" t="s">
        <v>64</v>
      </c>
      <c r="D1014" s="25"/>
      <c r="E1014" s="25">
        <v>46317.0</v>
      </c>
      <c r="F1014" s="24" t="s">
        <v>75</v>
      </c>
    </row>
    <row r="1015">
      <c r="A1015" s="40" t="s">
        <v>25</v>
      </c>
      <c r="B1015" s="40" t="s">
        <v>231</v>
      </c>
      <c r="C1015" s="24" t="s">
        <v>64</v>
      </c>
      <c r="D1015" s="25"/>
      <c r="E1015" s="25"/>
      <c r="F1015" s="24" t="s">
        <v>75</v>
      </c>
    </row>
    <row r="1016">
      <c r="A1016" s="40" t="s">
        <v>770</v>
      </c>
      <c r="B1016" s="40" t="s">
        <v>232</v>
      </c>
      <c r="C1016" s="24" t="s">
        <v>78</v>
      </c>
      <c r="D1016" s="25"/>
      <c r="E1016" s="25">
        <v>46314.0</v>
      </c>
      <c r="F1016" s="24" t="s">
        <v>75</v>
      </c>
    </row>
    <row r="1017">
      <c r="A1017" s="40" t="s">
        <v>49</v>
      </c>
      <c r="B1017" s="40" t="s">
        <v>233</v>
      </c>
      <c r="C1017" s="24" t="s">
        <v>88</v>
      </c>
      <c r="D1017" s="25"/>
      <c r="E1017" s="25">
        <v>46264.0</v>
      </c>
      <c r="F1017" s="24" t="s">
        <v>75</v>
      </c>
    </row>
    <row r="1018">
      <c r="A1018" s="40" t="s">
        <v>772</v>
      </c>
      <c r="B1018" s="40" t="s">
        <v>234</v>
      </c>
      <c r="C1018" s="24" t="s">
        <v>88</v>
      </c>
      <c r="D1018" s="25"/>
      <c r="E1018" s="25">
        <v>46252.0</v>
      </c>
      <c r="F1018" s="24" t="s">
        <v>75</v>
      </c>
    </row>
    <row r="1019">
      <c r="A1019" s="40" t="s">
        <v>773</v>
      </c>
      <c r="B1019" s="40" t="s">
        <v>235</v>
      </c>
      <c r="C1019" s="24" t="s">
        <v>88</v>
      </c>
      <c r="D1019" s="25"/>
      <c r="E1019" s="25">
        <v>46357.0</v>
      </c>
      <c r="F1019" s="24" t="s">
        <v>75</v>
      </c>
    </row>
    <row r="1020">
      <c r="A1020" s="40" t="s">
        <v>774</v>
      </c>
      <c r="B1020" s="40" t="s">
        <v>236</v>
      </c>
      <c r="C1020" s="24" t="s">
        <v>88</v>
      </c>
      <c r="D1020" s="25"/>
      <c r="E1020" s="25">
        <v>46357.0</v>
      </c>
      <c r="F1020" s="24" t="s">
        <v>75</v>
      </c>
    </row>
    <row r="1021">
      <c r="A1021" s="40" t="s">
        <v>775</v>
      </c>
      <c r="B1021" s="40" t="s">
        <v>237</v>
      </c>
      <c r="C1021" s="24" t="s">
        <v>88</v>
      </c>
      <c r="D1021" s="25"/>
      <c r="E1021" s="25">
        <v>46286.0</v>
      </c>
      <c r="F1021" s="24" t="s">
        <v>75</v>
      </c>
    </row>
    <row r="1022">
      <c r="A1022" s="40" t="s">
        <v>776</v>
      </c>
      <c r="B1022" s="40" t="s">
        <v>238</v>
      </c>
      <c r="C1022" s="24" t="s">
        <v>103</v>
      </c>
      <c r="D1022" s="25"/>
      <c r="E1022" s="25">
        <v>46312.0</v>
      </c>
      <c r="F1022" s="24" t="s">
        <v>75</v>
      </c>
    </row>
    <row r="1023">
      <c r="A1023" s="40" t="s">
        <v>777</v>
      </c>
      <c r="B1023" s="40" t="s">
        <v>239</v>
      </c>
      <c r="C1023" s="24" t="s">
        <v>103</v>
      </c>
      <c r="D1023" s="25"/>
      <c r="E1023" s="25">
        <v>46356.0</v>
      </c>
      <c r="F1023" s="24" t="s">
        <v>75</v>
      </c>
    </row>
    <row r="1024">
      <c r="A1024" s="40" t="s">
        <v>778</v>
      </c>
      <c r="B1024" s="40" t="s">
        <v>240</v>
      </c>
      <c r="C1024" s="24" t="s">
        <v>103</v>
      </c>
      <c r="D1024" s="25"/>
      <c r="E1024" s="25">
        <v>46440.0</v>
      </c>
      <c r="F1024" s="24" t="s">
        <v>75</v>
      </c>
    </row>
    <row r="1025">
      <c r="A1025" s="40" t="s">
        <v>780</v>
      </c>
      <c r="B1025" s="40" t="s">
        <v>241</v>
      </c>
      <c r="C1025" s="24" t="s">
        <v>103</v>
      </c>
      <c r="D1025" s="25"/>
      <c r="E1025" s="25">
        <v>46454.0</v>
      </c>
      <c r="F1025" s="24" t="s">
        <v>75</v>
      </c>
    </row>
    <row r="1026">
      <c r="A1026" s="40" t="s">
        <v>781</v>
      </c>
      <c r="B1026" s="40" t="s">
        <v>242</v>
      </c>
      <c r="C1026" s="24" t="s">
        <v>103</v>
      </c>
      <c r="D1026" s="25"/>
      <c r="E1026" s="25">
        <v>46482.0</v>
      </c>
      <c r="F1026" s="24" t="s">
        <v>75</v>
      </c>
    </row>
    <row r="1027">
      <c r="A1027" s="40" t="s">
        <v>782</v>
      </c>
      <c r="B1027" s="40" t="s">
        <v>243</v>
      </c>
      <c r="C1027" s="24" t="s">
        <v>103</v>
      </c>
      <c r="D1027" s="25"/>
      <c r="E1027" s="25">
        <v>46519.0</v>
      </c>
      <c r="F1027" s="24" t="s">
        <v>75</v>
      </c>
    </row>
    <row r="1028">
      <c r="A1028" s="40" t="s">
        <v>783</v>
      </c>
      <c r="B1028" s="40" t="s">
        <v>244</v>
      </c>
      <c r="C1028" s="24" t="s">
        <v>97</v>
      </c>
      <c r="D1028" s="25"/>
      <c r="E1028" s="25">
        <v>46402.0</v>
      </c>
      <c r="F1028" s="24" t="s">
        <v>75</v>
      </c>
    </row>
    <row r="1029">
      <c r="A1029" s="40" t="s">
        <v>784</v>
      </c>
      <c r="B1029" s="40" t="s">
        <v>264</v>
      </c>
      <c r="C1029" s="24" t="s">
        <v>97</v>
      </c>
      <c r="D1029" s="25"/>
      <c r="E1029" s="25">
        <v>46413.0</v>
      </c>
      <c r="F1029" s="24" t="s">
        <v>75</v>
      </c>
    </row>
    <row r="1030">
      <c r="A1030" s="40" t="s">
        <v>786</v>
      </c>
      <c r="B1030" s="40" t="s">
        <v>289</v>
      </c>
      <c r="C1030" s="24" t="s">
        <v>97</v>
      </c>
      <c r="D1030" s="25"/>
      <c r="E1030" s="25">
        <v>46407.0</v>
      </c>
      <c r="F1030" s="24" t="s">
        <v>75</v>
      </c>
    </row>
    <row r="1031">
      <c r="A1031" s="40" t="s">
        <v>787</v>
      </c>
      <c r="B1031" s="40" t="s">
        <v>315</v>
      </c>
      <c r="C1031" s="24" t="s">
        <v>97</v>
      </c>
      <c r="D1031" s="25"/>
      <c r="E1031" s="25">
        <v>46400.0</v>
      </c>
      <c r="F1031" s="24" t="s">
        <v>75</v>
      </c>
    </row>
    <row r="1032">
      <c r="A1032" s="40" t="s">
        <v>788</v>
      </c>
      <c r="B1032" s="40" t="s">
        <v>349</v>
      </c>
      <c r="C1032" s="24" t="s">
        <v>97</v>
      </c>
      <c r="D1032" s="25"/>
      <c r="E1032" s="25">
        <v>46367.0</v>
      </c>
      <c r="F1032" s="24" t="s">
        <v>75</v>
      </c>
    </row>
    <row r="1033">
      <c r="A1033" s="40" t="s">
        <v>789</v>
      </c>
      <c r="B1033" s="40" t="s">
        <v>374</v>
      </c>
      <c r="C1033" s="24" t="s">
        <v>97</v>
      </c>
      <c r="D1033" s="25"/>
      <c r="E1033" s="25">
        <v>46312.0</v>
      </c>
      <c r="F1033" s="24" t="s">
        <v>75</v>
      </c>
    </row>
    <row r="1034">
      <c r="A1034" s="40" t="s">
        <v>790</v>
      </c>
      <c r="B1034" s="40" t="s">
        <v>404</v>
      </c>
      <c r="C1034" s="24" t="s">
        <v>97</v>
      </c>
      <c r="D1034" s="25"/>
      <c r="E1034" s="25">
        <v>46305.0</v>
      </c>
      <c r="F1034" s="24" t="s">
        <v>75</v>
      </c>
    </row>
    <row r="1035">
      <c r="A1035" s="40" t="s">
        <v>791</v>
      </c>
      <c r="B1035" s="40" t="s">
        <v>431</v>
      </c>
      <c r="C1035" s="24" t="s">
        <v>97</v>
      </c>
      <c r="D1035" s="25"/>
      <c r="E1035" s="25">
        <v>46291.0</v>
      </c>
      <c r="F1035" s="24" t="s">
        <v>75</v>
      </c>
    </row>
    <row r="1036">
      <c r="A1036" s="40" t="s">
        <v>792</v>
      </c>
      <c r="B1036" s="40" t="s">
        <v>458</v>
      </c>
      <c r="C1036" s="24" t="s">
        <v>97</v>
      </c>
      <c r="D1036" s="25"/>
      <c r="E1036" s="25">
        <v>46284.0</v>
      </c>
      <c r="F1036" s="24" t="s">
        <v>75</v>
      </c>
    </row>
    <row r="1037">
      <c r="A1037" s="40" t="s">
        <v>793</v>
      </c>
      <c r="B1037" s="40" t="s">
        <v>479</v>
      </c>
      <c r="C1037" s="24" t="s">
        <v>97</v>
      </c>
      <c r="D1037" s="25"/>
      <c r="E1037" s="25">
        <v>46276.0</v>
      </c>
      <c r="F1037" s="24" t="s">
        <v>75</v>
      </c>
    </row>
    <row r="1038">
      <c r="A1038" s="40" t="s">
        <v>795</v>
      </c>
      <c r="B1038" s="40" t="s">
        <v>496</v>
      </c>
      <c r="C1038" s="24" t="s">
        <v>97</v>
      </c>
      <c r="D1038" s="25"/>
      <c r="E1038" s="25">
        <v>46266.0</v>
      </c>
      <c r="F1038" s="24" t="s">
        <v>75</v>
      </c>
    </row>
    <row r="1039">
      <c r="A1039" s="40" t="s">
        <v>796</v>
      </c>
      <c r="B1039" s="40" t="s">
        <v>512</v>
      </c>
      <c r="C1039" s="24" t="s">
        <v>115</v>
      </c>
      <c r="D1039" s="25"/>
      <c r="E1039" s="25">
        <v>46271.0</v>
      </c>
      <c r="F1039" s="24" t="s">
        <v>75</v>
      </c>
    </row>
    <row r="1040">
      <c r="A1040" s="40" t="s">
        <v>797</v>
      </c>
      <c r="B1040" s="40" t="s">
        <v>533</v>
      </c>
      <c r="C1040" s="24" t="s">
        <v>115</v>
      </c>
      <c r="D1040" s="25"/>
      <c r="E1040" s="25">
        <v>46280.0</v>
      </c>
      <c r="F1040" s="24" t="s">
        <v>75</v>
      </c>
    </row>
    <row r="1041">
      <c r="A1041" s="40" t="s">
        <v>798</v>
      </c>
      <c r="B1041" s="40" t="s">
        <v>546</v>
      </c>
      <c r="C1041" s="24" t="s">
        <v>115</v>
      </c>
      <c r="D1041" s="25"/>
      <c r="E1041" s="25">
        <v>46293.0</v>
      </c>
      <c r="F1041" s="24" t="s">
        <v>75</v>
      </c>
    </row>
    <row r="1042">
      <c r="A1042" s="40" t="s">
        <v>799</v>
      </c>
      <c r="B1042" s="40" t="s">
        <v>565</v>
      </c>
      <c r="C1042" s="24" t="s">
        <v>115</v>
      </c>
      <c r="D1042" s="25"/>
      <c r="E1042" s="25">
        <v>46293.0</v>
      </c>
      <c r="F1042" s="24" t="s">
        <v>75</v>
      </c>
    </row>
    <row r="1043">
      <c r="A1043" s="40" t="s">
        <v>801</v>
      </c>
      <c r="B1043" s="40" t="s">
        <v>578</v>
      </c>
      <c r="C1043" s="24" t="s">
        <v>115</v>
      </c>
      <c r="D1043" s="25"/>
      <c r="E1043" s="25">
        <v>46293.0</v>
      </c>
      <c r="F1043" s="24" t="s">
        <v>75</v>
      </c>
    </row>
    <row r="1044">
      <c r="A1044" s="40" t="s">
        <v>802</v>
      </c>
      <c r="B1044" s="40" t="s">
        <v>591</v>
      </c>
      <c r="C1044" s="24" t="s">
        <v>115</v>
      </c>
      <c r="D1044" s="25"/>
      <c r="E1044" s="25">
        <v>46271.0</v>
      </c>
      <c r="F1044" s="24" t="s">
        <v>75</v>
      </c>
    </row>
    <row r="1045">
      <c r="A1045" s="40" t="s">
        <v>803</v>
      </c>
      <c r="B1045" s="40" t="s">
        <v>605</v>
      </c>
      <c r="C1045" s="24" t="s">
        <v>115</v>
      </c>
      <c r="D1045" s="25"/>
      <c r="E1045" s="25">
        <v>46411.0</v>
      </c>
      <c r="F1045" s="24" t="s">
        <v>75</v>
      </c>
    </row>
    <row r="1046">
      <c r="A1046" s="40" t="s">
        <v>804</v>
      </c>
      <c r="B1046" s="40" t="s">
        <v>618</v>
      </c>
      <c r="C1046" s="24" t="s">
        <v>115</v>
      </c>
      <c r="D1046" s="25"/>
      <c r="E1046" s="25">
        <v>46286.0</v>
      </c>
      <c r="F1046" s="24" t="s">
        <v>75</v>
      </c>
    </row>
    <row r="1047">
      <c r="A1047" s="40" t="s">
        <v>805</v>
      </c>
      <c r="B1047" s="40" t="s">
        <v>633</v>
      </c>
      <c r="C1047" s="24" t="s">
        <v>115</v>
      </c>
      <c r="D1047" s="25"/>
      <c r="E1047" s="25">
        <v>46266.0</v>
      </c>
      <c r="F1047" s="24" t="s">
        <v>75</v>
      </c>
    </row>
    <row r="1048">
      <c r="A1048" s="40" t="s">
        <v>52</v>
      </c>
      <c r="B1048" s="40" t="s">
        <v>651</v>
      </c>
      <c r="C1048" s="24" t="s">
        <v>115</v>
      </c>
      <c r="D1048" s="25"/>
      <c r="E1048" s="25">
        <v>46264.0</v>
      </c>
      <c r="F1048" s="24" t="s">
        <v>75</v>
      </c>
    </row>
    <row r="1049">
      <c r="A1049" s="40" t="s">
        <v>27</v>
      </c>
      <c r="B1049" s="40" t="s">
        <v>674</v>
      </c>
      <c r="C1049" s="24" t="s">
        <v>64</v>
      </c>
      <c r="D1049" s="25"/>
      <c r="E1049" s="25"/>
      <c r="F1049" s="24" t="s">
        <v>80</v>
      </c>
    </row>
    <row r="1050">
      <c r="A1050" s="40" t="s">
        <v>29</v>
      </c>
      <c r="B1050" s="40" t="s">
        <v>688</v>
      </c>
      <c r="C1050" s="24" t="s">
        <v>100</v>
      </c>
      <c r="D1050" s="25"/>
      <c r="E1050" s="25"/>
      <c r="F1050" s="24" t="s">
        <v>75</v>
      </c>
    </row>
    <row r="1051">
      <c r="A1051" s="40" t="s">
        <v>807</v>
      </c>
      <c r="B1051" s="40" t="s">
        <v>709</v>
      </c>
      <c r="C1051" s="24" t="s">
        <v>88</v>
      </c>
      <c r="D1051" s="25"/>
      <c r="E1051" s="25">
        <v>46296.0</v>
      </c>
      <c r="F1051" s="24" t="s">
        <v>75</v>
      </c>
    </row>
    <row r="1052">
      <c r="A1052" s="40" t="s">
        <v>808</v>
      </c>
      <c r="B1052" s="40" t="s">
        <v>712</v>
      </c>
      <c r="C1052" s="24" t="s">
        <v>88</v>
      </c>
      <c r="D1052" s="25"/>
      <c r="E1052" s="25">
        <v>46260.0</v>
      </c>
      <c r="F1052" s="24" t="s">
        <v>75</v>
      </c>
    </row>
    <row r="1053">
      <c r="A1053" s="40" t="s">
        <v>809</v>
      </c>
      <c r="B1053" s="40" t="s">
        <v>713</v>
      </c>
      <c r="C1053" s="24" t="s">
        <v>88</v>
      </c>
      <c r="D1053" s="25"/>
      <c r="E1053" s="25">
        <v>46266.0</v>
      </c>
      <c r="F1053" s="24" t="s">
        <v>75</v>
      </c>
    </row>
    <row r="1054">
      <c r="A1054" s="40" t="s">
        <v>810</v>
      </c>
      <c r="B1054" s="40" t="s">
        <v>714</v>
      </c>
      <c r="C1054" s="24" t="s">
        <v>88</v>
      </c>
      <c r="D1054" s="25"/>
      <c r="E1054" s="25">
        <v>46280.0</v>
      </c>
      <c r="F1054" s="24" t="s">
        <v>75</v>
      </c>
    </row>
    <row r="1055">
      <c r="A1055" s="40" t="s">
        <v>812</v>
      </c>
      <c r="B1055" s="40" t="s">
        <v>716</v>
      </c>
      <c r="C1055" s="24" t="s">
        <v>88</v>
      </c>
      <c r="D1055" s="25"/>
      <c r="E1055" s="25">
        <v>46266.0</v>
      </c>
      <c r="F1055" s="24" t="s">
        <v>75</v>
      </c>
    </row>
    <row r="1056">
      <c r="A1056" s="40" t="s">
        <v>813</v>
      </c>
      <c r="B1056" s="40" t="s">
        <v>717</v>
      </c>
      <c r="C1056" s="24" t="s">
        <v>88</v>
      </c>
      <c r="D1056" s="25"/>
      <c r="E1056" s="25">
        <v>46272.0</v>
      </c>
      <c r="F1056" s="24" t="s">
        <v>75</v>
      </c>
    </row>
    <row r="1057">
      <c r="A1057" s="40" t="s">
        <v>814</v>
      </c>
      <c r="B1057" s="40" t="s">
        <v>718</v>
      </c>
      <c r="C1057" s="24" t="s">
        <v>88</v>
      </c>
      <c r="D1057" s="25"/>
      <c r="E1057" s="25">
        <v>46274.0</v>
      </c>
      <c r="F1057" s="24" t="s">
        <v>75</v>
      </c>
    </row>
    <row r="1058">
      <c r="A1058" s="40" t="s">
        <v>815</v>
      </c>
      <c r="B1058" s="40" t="s">
        <v>719</v>
      </c>
      <c r="C1058" s="24" t="s">
        <v>88</v>
      </c>
      <c r="D1058" s="25"/>
      <c r="E1058" s="25">
        <v>46327.0</v>
      </c>
      <c r="F1058" s="24" t="s">
        <v>75</v>
      </c>
    </row>
    <row r="1059">
      <c r="A1059" s="40" t="s">
        <v>816</v>
      </c>
      <c r="B1059" s="40" t="s">
        <v>720</v>
      </c>
      <c r="C1059" s="24" t="s">
        <v>112</v>
      </c>
      <c r="D1059" s="25"/>
      <c r="E1059" s="25">
        <v>46211.0</v>
      </c>
      <c r="F1059" s="24" t="s">
        <v>95</v>
      </c>
    </row>
    <row r="1060">
      <c r="A1060" s="40" t="s">
        <v>817</v>
      </c>
      <c r="B1060" s="40" t="s">
        <v>721</v>
      </c>
      <c r="C1060" s="24" t="s">
        <v>112</v>
      </c>
      <c r="D1060" s="25"/>
      <c r="E1060" s="25">
        <v>46248.0</v>
      </c>
      <c r="F1060" s="24" t="s">
        <v>80</v>
      </c>
    </row>
    <row r="1061">
      <c r="A1061" s="40" t="s">
        <v>818</v>
      </c>
      <c r="B1061" s="40" t="s">
        <v>722</v>
      </c>
      <c r="C1061" s="24" t="s">
        <v>112</v>
      </c>
      <c r="D1061" s="25"/>
      <c r="E1061" s="25">
        <v>46272.0</v>
      </c>
      <c r="F1061" s="24" t="s">
        <v>80</v>
      </c>
    </row>
    <row r="1062">
      <c r="A1062" s="40" t="s">
        <v>819</v>
      </c>
      <c r="B1062" s="40" t="s">
        <v>723</v>
      </c>
      <c r="C1062" s="24" t="s">
        <v>112</v>
      </c>
      <c r="D1062" s="25"/>
      <c r="E1062" s="25">
        <v>46314.0</v>
      </c>
      <c r="F1062" s="24" t="s">
        <v>75</v>
      </c>
    </row>
    <row r="1063">
      <c r="A1063" s="40" t="s">
        <v>31</v>
      </c>
      <c r="B1063" s="40" t="s">
        <v>725</v>
      </c>
      <c r="C1063" s="24" t="s">
        <v>112</v>
      </c>
      <c r="D1063" s="25"/>
      <c r="E1063" s="25"/>
      <c r="F1063" s="24" t="s">
        <v>75</v>
      </c>
    </row>
    <row r="1064">
      <c r="A1064" s="40" t="s">
        <v>33</v>
      </c>
      <c r="B1064" s="40" t="s">
        <v>726</v>
      </c>
      <c r="C1064" s="24" t="s">
        <v>112</v>
      </c>
      <c r="D1064" s="25"/>
      <c r="E1064" s="25"/>
      <c r="F1064" s="24" t="s">
        <v>75</v>
      </c>
    </row>
    <row r="1065">
      <c r="A1065" s="40" t="s">
        <v>821</v>
      </c>
      <c r="B1065" s="40" t="s">
        <v>727</v>
      </c>
      <c r="C1065" s="24" t="s">
        <v>112</v>
      </c>
      <c r="D1065" s="25"/>
      <c r="E1065" s="25">
        <v>46345.0</v>
      </c>
      <c r="F1065" s="24" t="s">
        <v>75</v>
      </c>
    </row>
    <row r="1066">
      <c r="A1066" s="40" t="s">
        <v>54</v>
      </c>
      <c r="B1066" s="40" t="s">
        <v>728</v>
      </c>
      <c r="C1066" s="24" t="s">
        <v>64</v>
      </c>
      <c r="D1066" s="25"/>
      <c r="E1066" s="25">
        <v>46270.0</v>
      </c>
      <c r="F1066" s="24" t="s">
        <v>75</v>
      </c>
    </row>
    <row r="1067">
      <c r="A1067" s="40" t="s">
        <v>822</v>
      </c>
      <c r="B1067" s="40" t="s">
        <v>729</v>
      </c>
      <c r="C1067" s="24" t="s">
        <v>112</v>
      </c>
      <c r="D1067" s="25"/>
      <c r="E1067" s="25">
        <v>46346.0</v>
      </c>
      <c r="F1067" s="24" t="s">
        <v>75</v>
      </c>
    </row>
    <row r="1068">
      <c r="A1068" s="40" t="s">
        <v>35</v>
      </c>
      <c r="B1068" s="40" t="s">
        <v>730</v>
      </c>
      <c r="C1068" s="24" t="s">
        <v>112</v>
      </c>
      <c r="D1068" s="25"/>
      <c r="E1068" s="25"/>
      <c r="F1068" s="24" t="s">
        <v>75</v>
      </c>
    </row>
    <row r="1069">
      <c r="A1069" s="40" t="s">
        <v>824</v>
      </c>
      <c r="B1069" s="40" t="s">
        <v>731</v>
      </c>
      <c r="C1069" s="24" t="s">
        <v>112</v>
      </c>
      <c r="D1069" s="25"/>
      <c r="E1069" s="25">
        <v>46405.0</v>
      </c>
      <c r="F1069" s="24" t="s">
        <v>75</v>
      </c>
    </row>
    <row r="1070">
      <c r="A1070" s="40" t="s">
        <v>825</v>
      </c>
      <c r="B1070" s="40" t="s">
        <v>733</v>
      </c>
      <c r="C1070" s="24" t="s">
        <v>103</v>
      </c>
      <c r="D1070" s="25"/>
      <c r="E1070" s="25">
        <v>46294.0</v>
      </c>
      <c r="F1070" s="24" t="s">
        <v>85</v>
      </c>
    </row>
    <row r="1071">
      <c r="A1071" s="40" t="s">
        <v>826</v>
      </c>
      <c r="B1071" s="40" t="s">
        <v>734</v>
      </c>
      <c r="C1071" s="24" t="s">
        <v>64</v>
      </c>
      <c r="D1071" s="25"/>
      <c r="E1071" s="25">
        <v>46460.0</v>
      </c>
      <c r="F1071" s="24" t="s">
        <v>75</v>
      </c>
    </row>
    <row r="1072">
      <c r="A1072" s="40" t="s">
        <v>827</v>
      </c>
      <c r="B1072" s="40" t="s">
        <v>735</v>
      </c>
      <c r="C1072" s="24" t="s">
        <v>64</v>
      </c>
      <c r="D1072" s="25"/>
      <c r="E1072" s="25">
        <v>46478.0</v>
      </c>
      <c r="F1072" s="24" t="s">
        <v>85</v>
      </c>
    </row>
    <row r="1073">
      <c r="A1073" s="40" t="s">
        <v>37</v>
      </c>
      <c r="B1073" s="40" t="s">
        <v>736</v>
      </c>
      <c r="C1073" s="24" t="s">
        <v>106</v>
      </c>
      <c r="D1073" s="25"/>
      <c r="E1073" s="25"/>
      <c r="F1073" s="24" t="s">
        <v>75</v>
      </c>
    </row>
    <row r="1074">
      <c r="A1074" s="40" t="s">
        <v>39</v>
      </c>
      <c r="B1074" s="40" t="s">
        <v>457</v>
      </c>
      <c r="C1074" s="24" t="s">
        <v>106</v>
      </c>
      <c r="D1074" s="25"/>
      <c r="E1074" s="25"/>
      <c r="F1074" s="24" t="s">
        <v>80</v>
      </c>
    </row>
    <row r="1075">
      <c r="A1075" s="40" t="s">
        <v>41</v>
      </c>
      <c r="B1075" s="40" t="s">
        <v>737</v>
      </c>
      <c r="C1075" s="24" t="s">
        <v>106</v>
      </c>
      <c r="D1075" s="25"/>
      <c r="E1075" s="25"/>
      <c r="F1075" s="24" t="s">
        <v>75</v>
      </c>
    </row>
    <row r="1076">
      <c r="A1076" s="40" t="s">
        <v>43</v>
      </c>
      <c r="B1076" s="40" t="s">
        <v>738</v>
      </c>
      <c r="C1076" s="24" t="s">
        <v>106</v>
      </c>
      <c r="D1076" s="25"/>
      <c r="E1076" s="25"/>
      <c r="F1076" s="24" t="s">
        <v>75</v>
      </c>
    </row>
    <row r="1077">
      <c r="A1077" s="40" t="s">
        <v>829</v>
      </c>
      <c r="B1077" s="40" t="s">
        <v>739</v>
      </c>
      <c r="C1077" s="24" t="s">
        <v>109</v>
      </c>
      <c r="D1077" s="25"/>
      <c r="E1077" s="25">
        <v>46295.0</v>
      </c>
      <c r="F1077" s="24" t="s">
        <v>75</v>
      </c>
    </row>
    <row r="1078">
      <c r="A1078" s="40" t="s">
        <v>45</v>
      </c>
      <c r="B1078" s="40" t="s">
        <v>740</v>
      </c>
      <c r="C1078" s="24" t="s">
        <v>93</v>
      </c>
      <c r="D1078" s="25"/>
      <c r="E1078" s="25"/>
      <c r="F1078" s="24" t="s">
        <v>80</v>
      </c>
    </row>
    <row r="1079">
      <c r="A1079" s="40" t="s">
        <v>831</v>
      </c>
      <c r="B1079" s="40" t="s">
        <v>741</v>
      </c>
      <c r="C1079" s="24" t="s">
        <v>93</v>
      </c>
      <c r="D1079" s="25"/>
      <c r="E1079" s="25">
        <v>46251.0</v>
      </c>
      <c r="F1079" s="24" t="s">
        <v>80</v>
      </c>
    </row>
    <row r="1080">
      <c r="A1080" s="40" t="s">
        <v>832</v>
      </c>
      <c r="B1080" s="40" t="s">
        <v>742</v>
      </c>
      <c r="C1080" s="24" t="s">
        <v>93</v>
      </c>
      <c r="D1080" s="25"/>
      <c r="E1080" s="25">
        <v>46274.0</v>
      </c>
      <c r="F1080" s="24" t="s">
        <v>75</v>
      </c>
    </row>
    <row r="1081">
      <c r="A1081" s="40" t="s">
        <v>833</v>
      </c>
      <c r="B1081" s="40" t="s">
        <v>743</v>
      </c>
      <c r="C1081" s="24" t="s">
        <v>93</v>
      </c>
      <c r="D1081" s="25"/>
      <c r="E1081" s="25">
        <v>46275.0</v>
      </c>
      <c r="F1081" s="24" t="s">
        <v>75</v>
      </c>
    </row>
    <row r="1082">
      <c r="A1082" s="40" t="s">
        <v>834</v>
      </c>
      <c r="B1082" s="40" t="s">
        <v>744</v>
      </c>
      <c r="C1082" s="24" t="s">
        <v>93</v>
      </c>
      <c r="D1082" s="25"/>
      <c r="E1082" s="25">
        <v>46293.0</v>
      </c>
      <c r="F1082" s="24" t="s">
        <v>75</v>
      </c>
    </row>
    <row r="1083">
      <c r="A1083" s="40" t="s">
        <v>835</v>
      </c>
      <c r="B1083" s="40" t="s">
        <v>745</v>
      </c>
      <c r="C1083" s="24" t="s">
        <v>93</v>
      </c>
      <c r="D1083" s="25"/>
      <c r="E1083" s="25">
        <v>46394.0</v>
      </c>
      <c r="F1083" s="24" t="s">
        <v>75</v>
      </c>
    </row>
    <row r="1084">
      <c r="A1084" s="40" t="s">
        <v>836</v>
      </c>
      <c r="B1084" s="40" t="s">
        <v>746</v>
      </c>
      <c r="C1084" s="24" t="s">
        <v>93</v>
      </c>
      <c r="D1084" s="25"/>
      <c r="E1084" s="25">
        <v>46395.0</v>
      </c>
      <c r="F1084" s="24" t="s">
        <v>75</v>
      </c>
    </row>
    <row r="1085">
      <c r="A1085" s="40" t="s">
        <v>837</v>
      </c>
      <c r="B1085" s="40" t="s">
        <v>747</v>
      </c>
      <c r="C1085" s="24" t="s">
        <v>93</v>
      </c>
      <c r="D1085" s="25"/>
      <c r="E1085" s="25">
        <v>46396.0</v>
      </c>
      <c r="F1085" s="24" t="s">
        <v>75</v>
      </c>
    </row>
    <row r="1086">
      <c r="A1086" s="40" t="s">
        <v>839</v>
      </c>
      <c r="B1086" s="40" t="s">
        <v>748</v>
      </c>
      <c r="C1086" s="24" t="s">
        <v>93</v>
      </c>
      <c r="D1086" s="25"/>
      <c r="E1086" s="25">
        <v>46402.0</v>
      </c>
      <c r="F1086" s="24" t="s">
        <v>75</v>
      </c>
    </row>
    <row r="1087">
      <c r="A1087" s="40" t="s">
        <v>840</v>
      </c>
      <c r="B1087" s="40" t="s">
        <v>749</v>
      </c>
      <c r="C1087" s="24" t="s">
        <v>93</v>
      </c>
      <c r="D1087" s="25"/>
      <c r="E1087" s="25">
        <v>46306.0</v>
      </c>
      <c r="F1087" s="24" t="s">
        <v>75</v>
      </c>
    </row>
    <row r="1088">
      <c r="A1088" s="40" t="s">
        <v>841</v>
      </c>
      <c r="B1088" s="40" t="s">
        <v>750</v>
      </c>
      <c r="C1088" s="24" t="s">
        <v>93</v>
      </c>
      <c r="D1088" s="25"/>
      <c r="E1088" s="25">
        <v>46317.0</v>
      </c>
      <c r="F1088" s="24" t="s">
        <v>75</v>
      </c>
    </row>
    <row r="1089">
      <c r="A1089" s="40" t="s">
        <v>843</v>
      </c>
      <c r="B1089" s="40" t="s">
        <v>752</v>
      </c>
      <c r="C1089" s="24" t="s">
        <v>93</v>
      </c>
      <c r="D1089" s="25"/>
      <c r="E1089" s="25">
        <v>46296.0</v>
      </c>
      <c r="F1089" s="24" t="s">
        <v>75</v>
      </c>
    </row>
    <row r="1090">
      <c r="A1090" s="40" t="s">
        <v>844</v>
      </c>
      <c r="B1090" s="40" t="s">
        <v>753</v>
      </c>
      <c r="C1090" s="24" t="s">
        <v>93</v>
      </c>
      <c r="D1090" s="25"/>
      <c r="E1090" s="25">
        <v>46306.0</v>
      </c>
      <c r="F1090" s="24" t="s">
        <v>75</v>
      </c>
    </row>
    <row r="1091">
      <c r="A1091" s="40" t="s">
        <v>845</v>
      </c>
      <c r="B1091" s="40" t="s">
        <v>754</v>
      </c>
      <c r="C1091" s="24" t="s">
        <v>109</v>
      </c>
      <c r="D1091" s="25"/>
      <c r="E1091" s="25">
        <v>46339.0</v>
      </c>
      <c r="F1091" s="24" t="s">
        <v>75</v>
      </c>
    </row>
    <row r="1092">
      <c r="A1092" s="40" t="s">
        <v>846</v>
      </c>
      <c r="B1092" s="40" t="s">
        <v>755</v>
      </c>
      <c r="C1092" s="24" t="s">
        <v>109</v>
      </c>
      <c r="D1092" s="25"/>
      <c r="E1092" s="25">
        <v>46283.0</v>
      </c>
      <c r="F1092" s="24" t="s">
        <v>75</v>
      </c>
    </row>
    <row r="1093">
      <c r="A1093" s="40" t="s">
        <v>847</v>
      </c>
      <c r="B1093" s="40" t="s">
        <v>756</v>
      </c>
      <c r="C1093" s="24" t="s">
        <v>97</v>
      </c>
      <c r="D1093" s="25">
        <v>46265.0</v>
      </c>
      <c r="E1093" s="25">
        <v>46269.0</v>
      </c>
      <c r="F1093" s="24" t="s">
        <v>75</v>
      </c>
    </row>
    <row r="1094">
      <c r="A1094" s="40" t="s">
        <v>848</v>
      </c>
      <c r="B1094" s="40" t="s">
        <v>762</v>
      </c>
      <c r="C1094" s="24" t="s">
        <v>97</v>
      </c>
      <c r="D1094" s="25">
        <v>46402.0</v>
      </c>
      <c r="E1094" s="25">
        <v>46409.0</v>
      </c>
      <c r="F1094" s="24" t="s">
        <v>75</v>
      </c>
    </row>
    <row r="1095">
      <c r="A1095" s="40" t="s">
        <v>849</v>
      </c>
      <c r="B1095" s="40" t="s">
        <v>769</v>
      </c>
      <c r="C1095" s="24" t="s">
        <v>109</v>
      </c>
      <c r="D1095" s="25">
        <v>46419.0</v>
      </c>
      <c r="E1095" s="25">
        <v>46430.0</v>
      </c>
      <c r="F1095" s="24" t="s">
        <v>75</v>
      </c>
    </row>
    <row r="1096">
      <c r="A1096" s="40" t="s">
        <v>850</v>
      </c>
      <c r="B1096" s="40" t="s">
        <v>779</v>
      </c>
      <c r="C1096" s="24" t="s">
        <v>100</v>
      </c>
      <c r="D1096" s="25"/>
      <c r="E1096" s="25">
        <v>46320.0</v>
      </c>
      <c r="F1096" s="24" t="s">
        <v>75</v>
      </c>
    </row>
    <row r="1097">
      <c r="A1097" s="40" t="s">
        <v>47</v>
      </c>
      <c r="B1097" s="40" t="s">
        <v>794</v>
      </c>
      <c r="C1097" s="24" t="s">
        <v>100</v>
      </c>
      <c r="D1097" s="25"/>
      <c r="E1097" s="25"/>
      <c r="F1097" s="24" t="s">
        <v>75</v>
      </c>
    </row>
    <row r="1098">
      <c r="A1098" s="40" t="s">
        <v>851</v>
      </c>
      <c r="B1098" s="40" t="s">
        <v>806</v>
      </c>
      <c r="C1098" s="24" t="s">
        <v>112</v>
      </c>
      <c r="D1098" s="25">
        <v>46362.0</v>
      </c>
      <c r="E1098" s="25">
        <v>46362.0</v>
      </c>
      <c r="F1098" s="24" t="s">
        <v>75</v>
      </c>
    </row>
    <row r="1099">
      <c r="A1099" s="40" t="s">
        <v>852</v>
      </c>
      <c r="B1099" s="40" t="s">
        <v>820</v>
      </c>
      <c r="C1099" s="24" t="s">
        <v>112</v>
      </c>
      <c r="D1099" s="25">
        <v>46405.0</v>
      </c>
      <c r="E1099" s="25">
        <v>46405.0</v>
      </c>
      <c r="F1099" s="24" t="s">
        <v>75</v>
      </c>
    </row>
    <row r="1100">
      <c r="A1100" s="40" t="s">
        <v>853</v>
      </c>
      <c r="B1100" s="40" t="s">
        <v>828</v>
      </c>
      <c r="C1100" s="24" t="s">
        <v>112</v>
      </c>
      <c r="D1100" s="25">
        <v>46416.0</v>
      </c>
      <c r="E1100" s="25">
        <v>46416.0</v>
      </c>
      <c r="F1100" s="24" t="s">
        <v>75</v>
      </c>
    </row>
    <row r="1101">
      <c r="A1101" s="40" t="s">
        <v>855</v>
      </c>
      <c r="B1101" s="40" t="s">
        <v>838</v>
      </c>
      <c r="C1101" s="24" t="s">
        <v>112</v>
      </c>
      <c r="D1101" s="25">
        <v>46422.0</v>
      </c>
      <c r="E1101" s="25">
        <v>46422.0</v>
      </c>
      <c r="F1101" s="24" t="s">
        <v>75</v>
      </c>
    </row>
    <row r="1102">
      <c r="A1102" s="40" t="s">
        <v>856</v>
      </c>
      <c r="B1102" s="40" t="s">
        <v>134</v>
      </c>
      <c r="C1102" s="24" t="s">
        <v>112</v>
      </c>
      <c r="D1102" s="25">
        <v>46432.0</v>
      </c>
      <c r="E1102" s="25">
        <v>46432.0</v>
      </c>
      <c r="F1102" s="24" t="s">
        <v>75</v>
      </c>
    </row>
    <row r="1103">
      <c r="A1103" s="40" t="s">
        <v>857</v>
      </c>
      <c r="B1103" s="40" t="s">
        <v>858</v>
      </c>
      <c r="C1103" s="24" t="s">
        <v>115</v>
      </c>
      <c r="D1103" s="25">
        <v>46405.0</v>
      </c>
      <c r="E1103" s="25">
        <v>46408.0</v>
      </c>
      <c r="F1103" s="24" t="s">
        <v>75</v>
      </c>
    </row>
    <row r="1104">
      <c r="A1104" s="40" t="s">
        <v>859</v>
      </c>
      <c r="B1104" s="40" t="s">
        <v>860</v>
      </c>
      <c r="C1104" s="24" t="s">
        <v>121</v>
      </c>
      <c r="D1104" s="25"/>
      <c r="E1104" s="25">
        <v>46266.0</v>
      </c>
      <c r="F1104" s="24" t="s">
        <v>80</v>
      </c>
    </row>
    <row r="1105">
      <c r="A1105" s="40" t="s">
        <v>861</v>
      </c>
      <c r="B1105" s="40" t="s">
        <v>862</v>
      </c>
      <c r="C1105" s="24" t="s">
        <v>121</v>
      </c>
      <c r="D1105" s="25"/>
      <c r="E1105" s="25">
        <v>46281.0</v>
      </c>
      <c r="F1105" s="24"/>
    </row>
    <row r="1106">
      <c r="A1106" s="40" t="s">
        <v>863</v>
      </c>
      <c r="B1106" s="40" t="s">
        <v>864</v>
      </c>
      <c r="C1106" s="24" t="s">
        <v>121</v>
      </c>
      <c r="D1106" s="25"/>
      <c r="E1106" s="25">
        <v>46328.0</v>
      </c>
      <c r="F1106" s="24"/>
    </row>
    <row r="1107">
      <c r="A1107" s="40" t="s">
        <v>865</v>
      </c>
      <c r="B1107" s="40" t="s">
        <v>866</v>
      </c>
      <c r="C1107" s="24" t="s">
        <v>64</v>
      </c>
      <c r="D1107" s="25"/>
      <c r="E1107" s="24" t="s">
        <v>867</v>
      </c>
      <c r="F1107" s="24"/>
    </row>
    <row r="1108">
      <c r="A1108" s="40" t="s">
        <v>868</v>
      </c>
      <c r="B1108" s="40"/>
      <c r="C1108" s="24"/>
      <c r="D1108" s="25"/>
      <c r="E1108" s="25"/>
      <c r="F1108" s="24"/>
    </row>
    <row r="1109">
      <c r="A1109" s="40" t="s">
        <v>868</v>
      </c>
      <c r="B1109" s="40"/>
      <c r="C1109" s="24"/>
      <c r="D1109" s="25"/>
      <c r="E1109" s="25"/>
      <c r="F1109" s="24"/>
    </row>
    <row r="1110">
      <c r="A1110" s="40" t="s">
        <v>868</v>
      </c>
      <c r="B1110" s="40"/>
      <c r="C1110" s="24"/>
      <c r="D1110" s="25"/>
      <c r="E1110" s="25"/>
      <c r="F1110" s="24"/>
    </row>
    <row r="1111">
      <c r="A1111" s="40" t="s">
        <v>868</v>
      </c>
      <c r="B1111" s="40"/>
      <c r="C1111" s="24"/>
      <c r="D1111" s="25"/>
      <c r="E1111" s="25"/>
      <c r="F1111" s="24"/>
    </row>
    <row r="1112">
      <c r="A1112" s="40" t="s">
        <v>868</v>
      </c>
      <c r="B1112" s="40"/>
      <c r="C1112" s="24"/>
      <c r="D1112" s="25"/>
      <c r="E1112" s="25"/>
      <c r="F1112" s="24"/>
    </row>
    <row r="1113">
      <c r="A1113" s="40" t="s">
        <v>868</v>
      </c>
      <c r="B1113" s="40"/>
      <c r="C1113" s="24"/>
      <c r="D1113" s="25"/>
      <c r="E1113" s="25"/>
      <c r="F1113" s="24"/>
    </row>
    <row r="1114">
      <c r="A1114" s="40" t="s">
        <v>868</v>
      </c>
      <c r="B1114" s="40"/>
      <c r="C1114" s="24"/>
      <c r="D1114" s="25"/>
      <c r="E1114" s="25"/>
      <c r="F1114" s="24"/>
    </row>
    <row r="1115">
      <c r="A1115" s="40" t="s">
        <v>868</v>
      </c>
      <c r="B1115" s="40"/>
      <c r="C1115" s="24"/>
      <c r="D1115" s="25"/>
      <c r="E1115" s="25"/>
      <c r="F1115" s="24"/>
    </row>
    <row r="1116">
      <c r="A1116" s="40" t="s">
        <v>868</v>
      </c>
      <c r="B1116" s="40"/>
      <c r="C1116" s="24"/>
      <c r="D1116" s="25"/>
      <c r="E1116" s="25"/>
      <c r="F1116" s="24"/>
    </row>
    <row r="1117">
      <c r="A1117" s="40" t="s">
        <v>868</v>
      </c>
      <c r="B1117" s="40"/>
      <c r="C1117" s="24"/>
      <c r="D1117" s="25"/>
      <c r="E1117" s="25"/>
      <c r="F1117" s="24"/>
    </row>
    <row r="1118">
      <c r="A1118" s="40" t="s">
        <v>868</v>
      </c>
      <c r="B1118" s="40"/>
      <c r="C1118" s="24"/>
      <c r="D1118" s="25"/>
      <c r="E1118" s="25"/>
      <c r="F1118" s="24"/>
    </row>
    <row r="1119">
      <c r="A1119" s="40" t="s">
        <v>868</v>
      </c>
      <c r="B1119" s="40"/>
      <c r="C1119" s="24"/>
      <c r="D1119" s="25"/>
      <c r="E1119" s="25"/>
      <c r="F1119" s="24"/>
    </row>
    <row r="1120">
      <c r="A1120" s="40" t="s">
        <v>868</v>
      </c>
      <c r="B1120" s="40"/>
      <c r="C1120" s="24"/>
      <c r="D1120" s="25"/>
      <c r="E1120" s="25"/>
      <c r="F1120" s="24"/>
    </row>
    <row r="1121">
      <c r="A1121" s="40" t="s">
        <v>868</v>
      </c>
      <c r="B1121" s="40"/>
      <c r="C1121" s="24"/>
      <c r="D1121" s="25"/>
      <c r="E1121" s="25"/>
      <c r="F1121" s="24"/>
    </row>
    <row r="1122">
      <c r="A1122" s="40" t="s">
        <v>868</v>
      </c>
      <c r="B1122" s="40"/>
      <c r="C1122" s="24"/>
      <c r="D1122" s="25"/>
      <c r="E1122" s="25"/>
      <c r="F1122" s="24"/>
    </row>
    <row r="1123">
      <c r="A1123" s="40" t="s">
        <v>868</v>
      </c>
      <c r="B1123" s="40"/>
      <c r="C1123" s="24"/>
      <c r="D1123" s="25"/>
      <c r="E1123" s="25"/>
      <c r="F1123" s="24"/>
    </row>
    <row r="1124">
      <c r="A1124" s="40" t="s">
        <v>868</v>
      </c>
      <c r="B1124" s="40"/>
      <c r="C1124" s="24"/>
      <c r="D1124" s="25"/>
      <c r="E1124" s="25"/>
      <c r="F1124" s="24"/>
    </row>
    <row r="1125">
      <c r="A1125" s="40" t="s">
        <v>868</v>
      </c>
      <c r="B1125" s="40"/>
      <c r="C1125" s="24"/>
      <c r="D1125" s="25"/>
      <c r="E1125" s="25"/>
      <c r="F1125" s="24"/>
    </row>
    <row r="1126">
      <c r="A1126" s="40" t="s">
        <v>868</v>
      </c>
      <c r="B1126" s="40"/>
      <c r="C1126" s="24"/>
      <c r="D1126" s="25"/>
      <c r="E1126" s="25"/>
      <c r="F1126" s="24"/>
    </row>
    <row r="1127">
      <c r="A1127" s="40" t="s">
        <v>868</v>
      </c>
      <c r="B1127" s="40"/>
      <c r="C1127" s="24"/>
      <c r="D1127" s="25"/>
      <c r="E1127" s="25"/>
      <c r="F1127" s="24"/>
    </row>
    <row r="1128">
      <c r="A1128" s="40" t="s">
        <v>868</v>
      </c>
      <c r="B1128" s="40"/>
      <c r="C1128" s="24"/>
      <c r="D1128" s="25"/>
      <c r="E1128" s="25"/>
      <c r="F1128" s="24"/>
    </row>
    <row r="1129">
      <c r="A1129" s="40" t="s">
        <v>868</v>
      </c>
      <c r="B1129" s="40"/>
      <c r="C1129" s="24"/>
      <c r="D1129" s="25"/>
      <c r="E1129" s="25"/>
      <c r="F1129" s="24"/>
    </row>
    <row r="1130">
      <c r="A1130" s="40" t="s">
        <v>868</v>
      </c>
      <c r="B1130" s="40"/>
      <c r="C1130" s="24"/>
      <c r="D1130" s="25"/>
      <c r="E1130" s="25"/>
      <c r="F1130" s="24"/>
    </row>
    <row r="1131">
      <c r="A1131" s="40" t="s">
        <v>868</v>
      </c>
      <c r="B1131" s="40"/>
      <c r="C1131" s="24"/>
      <c r="D1131" s="25"/>
      <c r="E1131" s="25"/>
      <c r="F1131" s="24"/>
    </row>
    <row r="1132">
      <c r="A1132" s="40" t="s">
        <v>868</v>
      </c>
      <c r="B1132" s="40"/>
      <c r="C1132" s="24"/>
      <c r="D1132" s="25"/>
      <c r="E1132" s="25"/>
      <c r="F1132" s="24"/>
    </row>
    <row r="1133">
      <c r="A1133" s="40" t="s">
        <v>868</v>
      </c>
      <c r="B1133" s="40"/>
      <c r="C1133" s="24"/>
      <c r="D1133" s="25"/>
      <c r="E1133" s="25"/>
      <c r="F1133" s="24"/>
    </row>
    <row r="1134">
      <c r="A1134" s="40" t="s">
        <v>868</v>
      </c>
      <c r="B1134" s="40"/>
      <c r="C1134" s="24"/>
      <c r="D1134" s="25"/>
      <c r="E1134" s="25"/>
      <c r="F1134" s="24"/>
    </row>
    <row r="1135">
      <c r="A1135" s="40" t="s">
        <v>868</v>
      </c>
      <c r="B1135" s="40"/>
      <c r="C1135" s="24"/>
      <c r="D1135" s="25"/>
      <c r="E1135" s="25"/>
      <c r="F1135" s="24"/>
    </row>
    <row r="1136">
      <c r="A1136" s="40" t="s">
        <v>868</v>
      </c>
      <c r="B1136" s="40"/>
      <c r="C1136" s="24"/>
      <c r="D1136" s="25"/>
      <c r="E1136" s="25"/>
      <c r="F1136" s="24"/>
    </row>
    <row r="1137">
      <c r="A1137" s="40" t="s">
        <v>868</v>
      </c>
      <c r="B1137" s="40"/>
      <c r="C1137" s="24"/>
      <c r="D1137" s="25"/>
      <c r="E1137" s="25"/>
      <c r="F1137" s="24"/>
    </row>
    <row r="1138">
      <c r="A1138" s="40" t="s">
        <v>868</v>
      </c>
      <c r="B1138" s="40"/>
      <c r="C1138" s="24"/>
      <c r="D1138" s="25"/>
      <c r="E1138" s="25"/>
      <c r="F1138" s="24"/>
    </row>
    <row r="1139">
      <c r="A1139" s="40" t="s">
        <v>868</v>
      </c>
      <c r="B1139" s="40"/>
      <c r="C1139" s="24"/>
      <c r="D1139" s="25"/>
      <c r="E1139" s="25"/>
      <c r="F1139" s="24"/>
    </row>
    <row r="1140">
      <c r="A1140" s="40" t="s">
        <v>868</v>
      </c>
      <c r="B1140" s="40"/>
      <c r="C1140" s="24"/>
      <c r="D1140" s="25"/>
      <c r="E1140" s="25"/>
      <c r="F1140" s="24"/>
    </row>
    <row r="1141">
      <c r="A1141" s="40" t="s">
        <v>868</v>
      </c>
      <c r="B1141" s="40"/>
      <c r="C1141" s="24"/>
      <c r="D1141" s="25"/>
      <c r="E1141" s="25"/>
      <c r="F1141" s="24"/>
    </row>
    <row r="1142">
      <c r="A1142" s="40" t="s">
        <v>868</v>
      </c>
      <c r="B1142" s="40"/>
      <c r="C1142" s="24"/>
      <c r="D1142" s="25"/>
      <c r="E1142" s="25"/>
      <c r="F1142" s="24"/>
    </row>
    <row r="1143">
      <c r="A1143" s="40" t="s">
        <v>868</v>
      </c>
      <c r="B1143" s="40"/>
      <c r="C1143" s="24"/>
      <c r="D1143" s="25"/>
      <c r="E1143" s="25"/>
      <c r="F1143" s="24"/>
    </row>
    <row r="1144">
      <c r="A1144" s="40" t="s">
        <v>868</v>
      </c>
      <c r="B1144" s="40"/>
      <c r="C1144" s="24"/>
      <c r="D1144" s="25"/>
      <c r="E1144" s="25"/>
      <c r="F1144" s="24"/>
    </row>
    <row r="1145">
      <c r="A1145" s="40" t="s">
        <v>868</v>
      </c>
      <c r="B1145" s="40"/>
      <c r="C1145" s="24"/>
      <c r="D1145" s="25"/>
      <c r="E1145" s="25"/>
      <c r="F1145" s="24"/>
    </row>
  </sheetData>
  <conditionalFormatting sqref="F1:F2650">
    <cfRule type="cellIs" dxfId="10" priority="1" operator="equal">
      <formula>"Complete"</formula>
    </cfRule>
  </conditionalFormatting>
  <conditionalFormatting sqref="F1:F2650">
    <cfRule type="cellIs" dxfId="11" priority="2" operator="equal">
      <formula>"In Progress"</formula>
    </cfRule>
  </conditionalFormatting>
  <conditionalFormatting sqref="F1:F2650">
    <cfRule type="cellIs" dxfId="12" priority="3" operator="equal">
      <formula>"Blocked"</formula>
    </cfRule>
  </conditionalFormatting>
  <conditionalFormatting sqref="F1:F2650">
    <cfRule type="cellIs" dxfId="13" priority="4" operator="equal">
      <formula>"Not Started"</formula>
    </cfRule>
  </conditionalFormatting>
  <conditionalFormatting sqref="F1:F2650">
    <cfRule type="cellIs" dxfId="14" priority="5" operator="equal">
      <formula>"Review"</formula>
    </cfRule>
  </conditionalFormatting>
  <conditionalFormatting sqref="F1:F2650">
    <cfRule type="expression" dxfId="15" priority="6">
      <formula>AND($E2&lt;TODAY(),$F2&lt;&gt;"Complete",$E2&lt;&gt;"")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E7A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7.0"/>
    <col customWidth="1" hidden="1" min="3" max="3" width="16.38"/>
    <col customWidth="1" min="4" max="5" width="13.88"/>
    <col customWidth="1" min="6" max="6" width="14.38"/>
    <col customWidth="1" min="7" max="7" width="17.0"/>
    <col customWidth="1" min="8" max="8" width="17.63"/>
    <col customWidth="1" min="9" max="9" width="14.0"/>
    <col customWidth="1" min="10" max="10" width="19.5"/>
    <col customWidth="1" min="11" max="12" width="25.13"/>
    <col customWidth="1" hidden="1" min="13" max="13" width="25.13"/>
  </cols>
  <sheetData>
    <row r="1">
      <c r="A1" s="26"/>
      <c r="B1" s="26"/>
    </row>
    <row r="2" ht="22.5" customHeight="1">
      <c r="A2" s="4" t="s">
        <v>58</v>
      </c>
      <c r="B2" s="4" t="s">
        <v>67</v>
      </c>
      <c r="C2" s="4" t="s">
        <v>0</v>
      </c>
      <c r="D2" s="4" t="s">
        <v>68</v>
      </c>
      <c r="E2" s="4" t="s">
        <v>69</v>
      </c>
      <c r="F2" s="4" t="s">
        <v>60</v>
      </c>
      <c r="G2" s="4" t="s">
        <v>7</v>
      </c>
      <c r="H2" s="4" t="s">
        <v>204</v>
      </c>
      <c r="I2" s="4" t="s">
        <v>72</v>
      </c>
      <c r="J2" s="4" t="s">
        <v>70</v>
      </c>
      <c r="K2" s="4" t="s">
        <v>206</v>
      </c>
      <c r="L2" s="4" t="s">
        <v>62</v>
      </c>
      <c r="M2" s="4" t="s">
        <v>207</v>
      </c>
    </row>
    <row r="3" ht="22.5" customHeight="1">
      <c r="A3" s="12" t="s">
        <v>477</v>
      </c>
      <c r="B3" s="12" t="s">
        <v>245</v>
      </c>
      <c r="C3" s="13" t="s">
        <v>64</v>
      </c>
      <c r="D3" s="15">
        <v>46265.0</v>
      </c>
      <c r="E3" s="15">
        <v>46269.0</v>
      </c>
      <c r="F3" s="13" t="s">
        <v>80</v>
      </c>
      <c r="G3" s="16"/>
      <c r="H3" s="17"/>
      <c r="I3" s="13" t="s">
        <v>81</v>
      </c>
      <c r="J3" s="27"/>
      <c r="K3" s="17"/>
      <c r="L3" s="17"/>
      <c r="M3" s="16" t="str">
        <f t="shared" ref="M3:M9" si="1">"A00 - General"</f>
        <v>A00 - General</v>
      </c>
    </row>
    <row r="4" ht="22.5" customHeight="1">
      <c r="A4" s="12" t="s">
        <v>246</v>
      </c>
      <c r="B4" s="12" t="s">
        <v>247</v>
      </c>
      <c r="C4" s="13" t="s">
        <v>64</v>
      </c>
      <c r="D4" s="15">
        <v>46286.0</v>
      </c>
      <c r="E4" s="15">
        <v>46295.0</v>
      </c>
      <c r="F4" s="13" t="s">
        <v>75</v>
      </c>
      <c r="G4" s="16"/>
      <c r="H4" s="28" t="s">
        <v>539</v>
      </c>
      <c r="I4" s="13" t="s">
        <v>81</v>
      </c>
      <c r="J4" s="27"/>
      <c r="K4" s="17"/>
      <c r="L4" s="17"/>
      <c r="M4" s="16" t="str">
        <f t="shared" si="1"/>
        <v>A00 - General</v>
      </c>
    </row>
    <row r="5" ht="22.5" customHeight="1">
      <c r="A5" s="12" t="s">
        <v>248</v>
      </c>
      <c r="B5" s="12" t="s">
        <v>249</v>
      </c>
      <c r="C5" s="13" t="s">
        <v>64</v>
      </c>
      <c r="D5" s="15">
        <v>46296.0</v>
      </c>
      <c r="E5" s="15">
        <v>46297.0</v>
      </c>
      <c r="F5" s="13" t="s">
        <v>75</v>
      </c>
      <c r="G5" s="16"/>
      <c r="H5" s="28" t="s">
        <v>539</v>
      </c>
      <c r="I5" s="13" t="s">
        <v>81</v>
      </c>
      <c r="J5" s="27"/>
      <c r="K5" s="17"/>
      <c r="L5" s="17"/>
      <c r="M5" s="16" t="str">
        <f t="shared" si="1"/>
        <v>A00 - General</v>
      </c>
    </row>
    <row r="6" ht="22.5" customHeight="1">
      <c r="A6" s="12" t="s">
        <v>250</v>
      </c>
      <c r="B6" s="12" t="s">
        <v>251</v>
      </c>
      <c r="C6" s="13" t="s">
        <v>64</v>
      </c>
      <c r="D6" s="15">
        <v>46293.0</v>
      </c>
      <c r="E6" s="15">
        <v>46295.0</v>
      </c>
      <c r="F6" s="13" t="s">
        <v>75</v>
      </c>
      <c r="G6" s="16"/>
      <c r="H6" s="28" t="s">
        <v>539</v>
      </c>
      <c r="I6" s="13" t="s">
        <v>81</v>
      </c>
      <c r="J6" s="29" t="s">
        <v>246</v>
      </c>
      <c r="K6" s="17"/>
      <c r="L6" s="17"/>
      <c r="M6" s="16" t="str">
        <f t="shared" si="1"/>
        <v>A00 - General</v>
      </c>
    </row>
    <row r="7" ht="22.5" customHeight="1">
      <c r="A7" s="12"/>
      <c r="B7" s="12"/>
      <c r="C7" s="30" t="str">
        <f t="shared" ref="C7:C9" si="2">"General"</f>
        <v>General</v>
      </c>
      <c r="D7" s="14"/>
      <c r="E7" s="14"/>
      <c r="F7" s="30"/>
      <c r="G7" s="16"/>
      <c r="H7" s="17"/>
      <c r="I7" s="30"/>
      <c r="J7" s="27"/>
      <c r="K7" s="17"/>
      <c r="L7" s="17"/>
      <c r="M7" s="16" t="str">
        <f t="shared" si="1"/>
        <v>A00 - General</v>
      </c>
    </row>
    <row r="8" ht="22.5" customHeight="1">
      <c r="A8" s="12"/>
      <c r="B8" s="12"/>
      <c r="C8" s="30" t="str">
        <f t="shared" si="2"/>
        <v>General</v>
      </c>
      <c r="D8" s="14"/>
      <c r="E8" s="14"/>
      <c r="F8" s="30"/>
      <c r="G8" s="16"/>
      <c r="H8" s="17"/>
      <c r="I8" s="30"/>
      <c r="J8" s="27"/>
      <c r="K8" s="17"/>
      <c r="L8" s="17"/>
      <c r="M8" s="16" t="str">
        <f t="shared" si="1"/>
        <v>A00 - General</v>
      </c>
    </row>
    <row r="9" ht="1.5" customHeight="1">
      <c r="A9" s="12"/>
      <c r="B9" s="12"/>
      <c r="C9" s="29" t="str">
        <f t="shared" si="2"/>
        <v>General</v>
      </c>
      <c r="D9" s="14"/>
      <c r="E9" s="14"/>
      <c r="F9" s="29"/>
      <c r="G9" s="27"/>
      <c r="H9" s="17"/>
      <c r="I9" s="29"/>
      <c r="J9" s="27"/>
      <c r="K9" s="17"/>
      <c r="L9" s="17"/>
      <c r="M9" s="27" t="str">
        <f t="shared" si="1"/>
        <v>A00 - General</v>
      </c>
    </row>
    <row r="10">
      <c r="A10" s="26"/>
    </row>
    <row r="11">
      <c r="A11" s="26"/>
      <c r="B11" s="26"/>
    </row>
    <row r="12" ht="22.5" customHeight="1">
      <c r="A12" s="4" t="s">
        <v>58</v>
      </c>
      <c r="B12" s="4" t="s">
        <v>67</v>
      </c>
      <c r="C12" s="4" t="s">
        <v>0</v>
      </c>
      <c r="D12" s="4" t="s">
        <v>68</v>
      </c>
      <c r="E12" s="4" t="s">
        <v>69</v>
      </c>
      <c r="F12" s="4" t="s">
        <v>60</v>
      </c>
      <c r="G12" s="4" t="s">
        <v>7</v>
      </c>
      <c r="H12" s="4" t="s">
        <v>204</v>
      </c>
      <c r="I12" s="4" t="s">
        <v>72</v>
      </c>
      <c r="J12" s="4" t="s">
        <v>70</v>
      </c>
      <c r="K12" s="4" t="s">
        <v>206</v>
      </c>
      <c r="L12" s="4" t="s">
        <v>62</v>
      </c>
      <c r="M12" s="4" t="s">
        <v>207</v>
      </c>
    </row>
    <row r="13" ht="22.5" customHeight="1">
      <c r="A13" s="31" t="s">
        <v>252</v>
      </c>
      <c r="B13" s="31" t="s">
        <v>253</v>
      </c>
      <c r="C13" s="32" t="s">
        <v>78</v>
      </c>
      <c r="D13" s="33">
        <v>46264.0</v>
      </c>
      <c r="E13" s="33">
        <v>46266.0</v>
      </c>
      <c r="F13" s="32" t="s">
        <v>95</v>
      </c>
      <c r="G13" s="34"/>
      <c r="H13" s="35" t="s">
        <v>715</v>
      </c>
      <c r="I13" s="32" t="s">
        <v>81</v>
      </c>
      <c r="J13" s="36"/>
      <c r="K13" s="37"/>
      <c r="L13" s="37"/>
      <c r="M13" s="34" t="str">
        <f t="shared" ref="M13:M17" si="3">"A01 - Chassis"</f>
        <v>A01 - Chassis</v>
      </c>
    </row>
    <row r="14" ht="22.5" customHeight="1">
      <c r="A14" s="12" t="s">
        <v>254</v>
      </c>
      <c r="B14" s="12" t="s">
        <v>255</v>
      </c>
      <c r="C14" s="13" t="s">
        <v>78</v>
      </c>
      <c r="D14" s="15">
        <v>46264.0</v>
      </c>
      <c r="E14" s="15">
        <v>46265.0</v>
      </c>
      <c r="F14" s="13" t="s">
        <v>80</v>
      </c>
      <c r="G14" s="16"/>
      <c r="H14" s="28" t="s">
        <v>715</v>
      </c>
      <c r="I14" s="13" t="s">
        <v>81</v>
      </c>
      <c r="J14" s="27"/>
      <c r="K14" s="17"/>
      <c r="L14" s="17"/>
      <c r="M14" s="16" t="str">
        <f t="shared" si="3"/>
        <v>A01 - Chassis</v>
      </c>
    </row>
    <row r="15" ht="22.5" customHeight="1">
      <c r="A15" s="12"/>
      <c r="B15" s="12"/>
      <c r="C15" s="30" t="str">
        <f t="shared" ref="C15:C17" si="4">"Chassis"</f>
        <v>Chassis</v>
      </c>
      <c r="D15" s="14"/>
      <c r="E15" s="14"/>
      <c r="F15" s="30"/>
      <c r="G15" s="16"/>
      <c r="H15" s="17"/>
      <c r="I15" s="30"/>
      <c r="J15" s="27"/>
      <c r="K15" s="17"/>
      <c r="L15" s="17"/>
      <c r="M15" s="16" t="str">
        <f t="shared" si="3"/>
        <v>A01 - Chassis</v>
      </c>
    </row>
    <row r="16" ht="22.5" customHeight="1">
      <c r="A16" s="12"/>
      <c r="B16" s="12"/>
      <c r="C16" s="30" t="str">
        <f t="shared" si="4"/>
        <v>Chassis</v>
      </c>
      <c r="D16" s="14"/>
      <c r="E16" s="14"/>
      <c r="F16" s="30"/>
      <c r="G16" s="16"/>
      <c r="H16" s="17"/>
      <c r="I16" s="30"/>
      <c r="J16" s="27"/>
      <c r="K16" s="17"/>
      <c r="L16" s="17"/>
      <c r="M16" s="16" t="str">
        <f t="shared" si="3"/>
        <v>A01 - Chassis</v>
      </c>
    </row>
    <row r="17" ht="22.5" customHeight="1">
      <c r="A17" s="12"/>
      <c r="B17" s="12"/>
      <c r="C17" s="30" t="str">
        <f t="shared" si="4"/>
        <v>Chassis</v>
      </c>
      <c r="D17" s="14"/>
      <c r="E17" s="14"/>
      <c r="F17" s="30"/>
      <c r="G17" s="16"/>
      <c r="H17" s="17"/>
      <c r="I17" s="30"/>
      <c r="J17" s="27"/>
      <c r="K17" s="17"/>
      <c r="L17" s="17"/>
      <c r="M17" s="16" t="str">
        <f t="shared" si="3"/>
        <v>A01 - Chassis</v>
      </c>
    </row>
    <row r="18" ht="1.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>
      <c r="A19" s="26"/>
    </row>
    <row r="20">
      <c r="A20" s="26"/>
      <c r="B20" s="26"/>
    </row>
    <row r="21" ht="22.5" customHeight="1">
      <c r="A21" s="4" t="s">
        <v>58</v>
      </c>
      <c r="B21" s="4" t="s">
        <v>67</v>
      </c>
      <c r="C21" s="4" t="s">
        <v>0</v>
      </c>
      <c r="D21" s="4" t="s">
        <v>68</v>
      </c>
      <c r="E21" s="4" t="s">
        <v>69</v>
      </c>
      <c r="F21" s="4" t="s">
        <v>60</v>
      </c>
      <c r="G21" s="4" t="s">
        <v>7</v>
      </c>
      <c r="H21" s="4" t="s">
        <v>204</v>
      </c>
      <c r="I21" s="4" t="s">
        <v>72</v>
      </c>
      <c r="J21" s="4" t="s">
        <v>70</v>
      </c>
      <c r="K21" s="4" t="s">
        <v>206</v>
      </c>
      <c r="L21" s="4" t="s">
        <v>62</v>
      </c>
      <c r="M21" s="4" t="s">
        <v>207</v>
      </c>
    </row>
    <row r="22" ht="22.5" customHeight="1">
      <c r="A22" s="12" t="s">
        <v>256</v>
      </c>
      <c r="B22" s="12" t="s">
        <v>257</v>
      </c>
      <c r="C22" s="13" t="s">
        <v>83</v>
      </c>
      <c r="D22" s="15">
        <v>46265.0</v>
      </c>
      <c r="E22" s="15">
        <v>46267.0</v>
      </c>
      <c r="F22" s="13" t="s">
        <v>75</v>
      </c>
      <c r="G22" s="16"/>
      <c r="H22" s="28" t="s">
        <v>732</v>
      </c>
      <c r="I22" s="13" t="s">
        <v>81</v>
      </c>
      <c r="J22" s="29" t="s">
        <v>254</v>
      </c>
      <c r="K22" s="17"/>
      <c r="L22" s="17"/>
      <c r="M22" s="16" t="str">
        <f t="shared" ref="M22:M26" si="5">"A02 - Powertrain"</f>
        <v>A02 - Powertrain</v>
      </c>
    </row>
    <row r="23" ht="22.5" customHeight="1">
      <c r="A23" s="12" t="s">
        <v>258</v>
      </c>
      <c r="B23" s="12" t="s">
        <v>259</v>
      </c>
      <c r="C23" s="13" t="s">
        <v>83</v>
      </c>
      <c r="D23" s="15">
        <v>46266.0</v>
      </c>
      <c r="E23" s="15">
        <v>46270.0</v>
      </c>
      <c r="F23" s="13" t="s">
        <v>75</v>
      </c>
      <c r="G23" s="16"/>
      <c r="H23" s="28" t="s">
        <v>732</v>
      </c>
      <c r="I23" s="13" t="s">
        <v>81</v>
      </c>
      <c r="J23" s="27"/>
      <c r="K23" s="17"/>
      <c r="L23" s="17"/>
      <c r="M23" s="16" t="str">
        <f t="shared" si="5"/>
        <v>A02 - Powertrain</v>
      </c>
    </row>
    <row r="24" ht="22.5" customHeight="1">
      <c r="A24" s="31" t="s">
        <v>260</v>
      </c>
      <c r="B24" s="31" t="s">
        <v>261</v>
      </c>
      <c r="C24" s="32" t="s">
        <v>83</v>
      </c>
      <c r="D24" s="33">
        <v>46267.0</v>
      </c>
      <c r="E24" s="33">
        <v>46269.0</v>
      </c>
      <c r="F24" s="32" t="s">
        <v>95</v>
      </c>
      <c r="G24" s="34"/>
      <c r="H24" s="35" t="s">
        <v>732</v>
      </c>
      <c r="I24" s="32" t="s">
        <v>81</v>
      </c>
      <c r="J24" s="36"/>
      <c r="K24" s="37"/>
      <c r="L24" s="37"/>
      <c r="M24" s="34" t="str">
        <f t="shared" si="5"/>
        <v>A02 - Powertrain</v>
      </c>
    </row>
    <row r="25" ht="22.5" customHeight="1">
      <c r="A25" s="12"/>
      <c r="B25" s="12"/>
      <c r="C25" s="30" t="str">
        <f t="shared" ref="C25:C26" si="6">"Powertrain"</f>
        <v>Powertrain</v>
      </c>
      <c r="D25" s="14"/>
      <c r="E25" s="14"/>
      <c r="F25" s="30"/>
      <c r="G25" s="16"/>
      <c r="H25" s="17"/>
      <c r="I25" s="30"/>
      <c r="J25" s="27"/>
      <c r="K25" s="17"/>
      <c r="L25" s="17"/>
      <c r="M25" s="16" t="str">
        <f t="shared" si="5"/>
        <v>A02 - Powertrain</v>
      </c>
    </row>
    <row r="26" ht="22.5" customHeight="1">
      <c r="A26" s="12"/>
      <c r="B26" s="12"/>
      <c r="C26" s="30" t="str">
        <f t="shared" si="6"/>
        <v>Powertrain</v>
      </c>
      <c r="D26" s="14"/>
      <c r="E26" s="14"/>
      <c r="F26" s="30"/>
      <c r="G26" s="16"/>
      <c r="H26" s="17"/>
      <c r="I26" s="30"/>
      <c r="J26" s="27"/>
      <c r="K26" s="17"/>
      <c r="L26" s="17"/>
      <c r="M26" s="16" t="str">
        <f t="shared" si="5"/>
        <v>A02 - Powertrain</v>
      </c>
    </row>
    <row r="27" ht="1.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>
      <c r="A28" s="26"/>
    </row>
  </sheetData>
  <mergeCells count="6">
    <mergeCell ref="B1:M1"/>
    <mergeCell ref="A10:M10"/>
    <mergeCell ref="B11:M11"/>
    <mergeCell ref="A19:M19"/>
    <mergeCell ref="B20:M20"/>
    <mergeCell ref="A28:M28"/>
  </mergeCells>
  <dataValidations>
    <dataValidation type="list" allowBlank="1" sqref="J3:J8 J13:J17 J22:J26">
      <formula1>#REF!</formula1>
    </dataValidation>
    <dataValidation type="list" allowBlank="1" sqref="F3:F8 F13:F17 F22:F26">
      <formula1>#REF!</formula1>
    </dataValidation>
    <dataValidation type="custom" allowBlank="1" showDropDown="1" sqref="D3:E8 D13:E17 D22:E26">
      <formula1>OR(NOT(ISERROR(DATEVALUE(D3))), AND(ISNUMBER(D3), LEFT(CELL("format", D3))="D"))</formula1>
    </dataValidation>
    <dataValidation type="list" allowBlank="1" sqref="I3:I8 I13:I17 I22:I26">
      <formula1>#REF!</formula1>
    </dataValidation>
    <dataValidation allowBlank="1" showDropDown="1" sqref="B3:B8 K3:L8 B13:B17 K13:L17 B22:B26 K22:L26"/>
    <dataValidation allowBlank="1" showDropDown="1" sqref="A3:A8 A13:A17 A22:A26"/>
    <dataValidation type="list" allowBlank="1" sqref="G3:G8 M3:M8 G13:G17 M13:M17 G22:G26 M22:M26">
      <formula1>#REF!</formula1>
    </dataValidation>
    <dataValidation type="list" allowBlank="1" sqref="C3:C8 C13:C17 C22:C26">
      <formula1>#REF!</formula1>
    </dataValidation>
  </dataValidations>
  <hyperlinks>
    <hyperlink r:id="rId1" ref="H4"/>
    <hyperlink r:id="rId2" ref="H5"/>
    <hyperlink r:id="rId3" ref="H6"/>
    <hyperlink r:id="rId4" ref="H13"/>
    <hyperlink r:id="rId5" ref="H14"/>
    <hyperlink r:id="rId6" ref="H22"/>
    <hyperlink r:id="rId7" ref="H23"/>
    <hyperlink r:id="rId8" ref="H24"/>
  </hyperlinks>
  <drawing r:id="rId9"/>
  <tableParts count="3"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B463C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7.0"/>
    <col customWidth="1" hidden="1" min="3" max="3" width="16.38"/>
    <col customWidth="1" min="4" max="5" width="13.88"/>
    <col customWidth="1" min="6" max="6" width="14.38"/>
    <col customWidth="1" min="7" max="7" width="17.0"/>
    <col customWidth="1" min="8" max="8" width="17.63"/>
    <col customWidth="1" min="9" max="9" width="14.0"/>
    <col customWidth="1" min="10" max="10" width="19.5"/>
    <col customWidth="1" min="11" max="12" width="25.13"/>
    <col customWidth="1" hidden="1" min="13" max="13" width="25.13"/>
  </cols>
  <sheetData>
    <row r="1">
      <c r="A1" s="26"/>
      <c r="B1" s="26"/>
    </row>
    <row r="2" ht="22.5" customHeight="1">
      <c r="A2" s="4" t="s">
        <v>58</v>
      </c>
      <c r="B2" s="4" t="s">
        <v>67</v>
      </c>
      <c r="C2" s="4" t="s">
        <v>0</v>
      </c>
      <c r="D2" s="4" t="s">
        <v>68</v>
      </c>
      <c r="E2" s="4" t="s">
        <v>69</v>
      </c>
      <c r="F2" s="4" t="s">
        <v>60</v>
      </c>
      <c r="G2" s="4" t="s">
        <v>7</v>
      </c>
      <c r="H2" s="4" t="s">
        <v>204</v>
      </c>
      <c r="I2" s="4" t="s">
        <v>72</v>
      </c>
      <c r="J2" s="4" t="s">
        <v>70</v>
      </c>
      <c r="K2" s="4" t="s">
        <v>206</v>
      </c>
      <c r="L2" s="4" t="s">
        <v>62</v>
      </c>
      <c r="M2" s="4" t="s">
        <v>207</v>
      </c>
    </row>
    <row r="3" ht="22.5" customHeight="1">
      <c r="A3" s="12" t="s">
        <v>262</v>
      </c>
      <c r="B3" s="12" t="s">
        <v>263</v>
      </c>
      <c r="C3" s="30" t="str">
        <f t="shared" ref="C3:C7" si="1">"High Voltage"</f>
        <v>High Voltage</v>
      </c>
      <c r="D3" s="14"/>
      <c r="E3" s="14"/>
      <c r="F3" s="13"/>
      <c r="G3" s="16"/>
      <c r="H3" s="17"/>
      <c r="I3" s="13"/>
      <c r="J3" s="27"/>
      <c r="K3" s="17"/>
      <c r="L3" s="17"/>
      <c r="M3" s="16" t="str">
        <f t="shared" ref="M3:M7" si="2">"A01 - High Voltage"</f>
        <v>A01 - High Voltage</v>
      </c>
    </row>
    <row r="4" ht="22.5" customHeight="1">
      <c r="A4" s="12"/>
      <c r="B4" s="12"/>
      <c r="C4" s="30" t="str">
        <f t="shared" si="1"/>
        <v>High Voltage</v>
      </c>
      <c r="D4" s="14"/>
      <c r="E4" s="14"/>
      <c r="F4" s="13"/>
      <c r="G4" s="16"/>
      <c r="H4" s="17"/>
      <c r="I4" s="30"/>
      <c r="J4" s="39"/>
      <c r="K4" s="17"/>
      <c r="L4" s="17"/>
      <c r="M4" s="16" t="str">
        <f t="shared" si="2"/>
        <v>A01 - High Voltage</v>
      </c>
    </row>
    <row r="5" ht="22.5" customHeight="1">
      <c r="A5" s="12"/>
      <c r="B5" s="12"/>
      <c r="C5" s="30" t="str">
        <f t="shared" si="1"/>
        <v>High Voltage</v>
      </c>
      <c r="D5" s="14"/>
      <c r="E5" s="14"/>
      <c r="F5" s="30"/>
      <c r="G5" s="16"/>
      <c r="H5" s="17"/>
      <c r="I5" s="30"/>
      <c r="J5" s="27"/>
      <c r="K5" s="17"/>
      <c r="L5" s="17"/>
      <c r="M5" s="16" t="str">
        <f t="shared" si="2"/>
        <v>A01 - High Voltage</v>
      </c>
    </row>
    <row r="6" ht="22.5" customHeight="1">
      <c r="A6" s="12"/>
      <c r="B6" s="12"/>
      <c r="C6" s="30" t="str">
        <f t="shared" si="1"/>
        <v>High Voltage</v>
      </c>
      <c r="D6" s="14"/>
      <c r="E6" s="14"/>
      <c r="F6" s="30"/>
      <c r="G6" s="16"/>
      <c r="H6" s="17"/>
      <c r="I6" s="30"/>
      <c r="J6" s="27"/>
      <c r="K6" s="17"/>
      <c r="L6" s="17"/>
      <c r="M6" s="16" t="str">
        <f t="shared" si="2"/>
        <v>A01 - High Voltage</v>
      </c>
    </row>
    <row r="7" ht="22.5" customHeight="1">
      <c r="A7" s="12"/>
      <c r="B7" s="12"/>
      <c r="C7" s="30" t="str">
        <f t="shared" si="1"/>
        <v>High Voltage</v>
      </c>
      <c r="D7" s="14"/>
      <c r="E7" s="14"/>
      <c r="F7" s="30"/>
      <c r="G7" s="16"/>
      <c r="H7" s="17"/>
      <c r="I7" s="30"/>
      <c r="J7" s="27"/>
      <c r="K7" s="17"/>
      <c r="L7" s="17"/>
      <c r="M7" s="16" t="str">
        <f t="shared" si="2"/>
        <v>A01 - High Voltage</v>
      </c>
    </row>
    <row r="8" ht="1.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>
      <c r="A9" s="26"/>
    </row>
    <row r="10">
      <c r="A10" s="26"/>
      <c r="B10" s="26"/>
    </row>
    <row r="11" ht="22.5" customHeight="1">
      <c r="A11" s="4" t="s">
        <v>58</v>
      </c>
      <c r="B11" s="4" t="s">
        <v>67</v>
      </c>
      <c r="C11" s="4" t="s">
        <v>0</v>
      </c>
      <c r="D11" s="4" t="s">
        <v>68</v>
      </c>
      <c r="E11" s="4" t="s">
        <v>69</v>
      </c>
      <c r="F11" s="4" t="s">
        <v>60</v>
      </c>
      <c r="G11" s="4" t="s">
        <v>7</v>
      </c>
      <c r="H11" s="4" t="s">
        <v>204</v>
      </c>
      <c r="I11" s="4" t="s">
        <v>72</v>
      </c>
      <c r="J11" s="4" t="s">
        <v>70</v>
      </c>
      <c r="K11" s="4" t="s">
        <v>206</v>
      </c>
      <c r="L11" s="4" t="s">
        <v>62</v>
      </c>
      <c r="M11" s="4" t="s">
        <v>207</v>
      </c>
    </row>
    <row r="12" ht="22.5" customHeight="1">
      <c r="A12" s="12"/>
      <c r="B12" s="12"/>
      <c r="C12" s="30" t="str">
        <f t="shared" ref="C12:C16" si="3">"High Voltage"</f>
        <v>High Voltage</v>
      </c>
      <c r="D12" s="15"/>
      <c r="E12" s="14"/>
      <c r="F12" s="13"/>
      <c r="G12" s="13"/>
      <c r="H12" s="17"/>
      <c r="I12" s="30"/>
      <c r="J12" s="39"/>
      <c r="K12" s="17"/>
      <c r="L12" s="17"/>
      <c r="M12" s="16" t="str">
        <f t="shared" ref="M12:M16" si="4">"A02 - Modules"</f>
        <v>A02 - Modules</v>
      </c>
    </row>
    <row r="13" ht="22.5" customHeight="1">
      <c r="A13" s="12"/>
      <c r="B13" s="12"/>
      <c r="C13" s="30" t="str">
        <f t="shared" si="3"/>
        <v>High Voltage</v>
      </c>
      <c r="D13" s="14"/>
      <c r="E13" s="14"/>
      <c r="F13" s="30"/>
      <c r="G13" s="16"/>
      <c r="H13" s="17"/>
      <c r="I13" s="30"/>
      <c r="J13" s="29"/>
      <c r="K13" s="17"/>
      <c r="L13" s="17"/>
      <c r="M13" s="16" t="str">
        <f t="shared" si="4"/>
        <v>A02 - Modules</v>
      </c>
    </row>
    <row r="14" ht="22.5" customHeight="1">
      <c r="A14" s="12"/>
      <c r="B14" s="12"/>
      <c r="C14" s="30" t="str">
        <f t="shared" si="3"/>
        <v>High Voltage</v>
      </c>
      <c r="D14" s="14"/>
      <c r="E14" s="14"/>
      <c r="F14" s="30"/>
      <c r="G14" s="16"/>
      <c r="H14" s="17"/>
      <c r="I14" s="30"/>
      <c r="J14" s="29"/>
      <c r="K14" s="17"/>
      <c r="L14" s="17"/>
      <c r="M14" s="16" t="str">
        <f t="shared" si="4"/>
        <v>A02 - Modules</v>
      </c>
    </row>
    <row r="15" ht="22.5" customHeight="1">
      <c r="A15" s="12"/>
      <c r="B15" s="12"/>
      <c r="C15" s="30" t="str">
        <f t="shared" si="3"/>
        <v>High Voltage</v>
      </c>
      <c r="D15" s="14"/>
      <c r="E15" s="14"/>
      <c r="F15" s="30"/>
      <c r="G15" s="16"/>
      <c r="H15" s="17"/>
      <c r="I15" s="30"/>
      <c r="J15" s="27"/>
      <c r="K15" s="17"/>
      <c r="L15" s="17"/>
      <c r="M15" s="16" t="str">
        <f t="shared" si="4"/>
        <v>A02 - Modules</v>
      </c>
    </row>
    <row r="16" ht="22.5" customHeight="1">
      <c r="A16" s="12"/>
      <c r="B16" s="12"/>
      <c r="C16" s="30" t="str">
        <f t="shared" si="3"/>
        <v>High Voltage</v>
      </c>
      <c r="D16" s="14"/>
      <c r="E16" s="14"/>
      <c r="F16" s="30"/>
      <c r="G16" s="16"/>
      <c r="H16" s="17"/>
      <c r="I16" s="30"/>
      <c r="J16" s="27"/>
      <c r="K16" s="17"/>
      <c r="L16" s="17"/>
      <c r="M16" s="16" t="str">
        <f t="shared" si="4"/>
        <v>A02 - Modules</v>
      </c>
    </row>
    <row r="17" ht="1.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</row>
    <row r="18">
      <c r="A18" s="26"/>
    </row>
    <row r="19">
      <c r="A19" s="26"/>
      <c r="B19" s="26"/>
    </row>
    <row r="20" ht="22.5" customHeight="1">
      <c r="A20" s="4" t="s">
        <v>58</v>
      </c>
      <c r="B20" s="4" t="s">
        <v>67</v>
      </c>
      <c r="C20" s="4" t="s">
        <v>0</v>
      </c>
      <c r="D20" s="4" t="s">
        <v>68</v>
      </c>
      <c r="E20" s="4" t="s">
        <v>69</v>
      </c>
      <c r="F20" s="4" t="s">
        <v>60</v>
      </c>
      <c r="G20" s="4" t="s">
        <v>7</v>
      </c>
      <c r="H20" s="4" t="s">
        <v>204</v>
      </c>
      <c r="I20" s="4" t="s">
        <v>72</v>
      </c>
      <c r="J20" s="4" t="s">
        <v>70</v>
      </c>
      <c r="K20" s="4" t="s">
        <v>206</v>
      </c>
      <c r="L20" s="4" t="s">
        <v>62</v>
      </c>
      <c r="M20" s="4" t="s">
        <v>207</v>
      </c>
    </row>
    <row r="21" ht="22.5" customHeight="1">
      <c r="A21" s="12"/>
      <c r="B21" s="12"/>
      <c r="C21" s="30" t="str">
        <f t="shared" ref="C21:C25" si="5">"High Voltage"</f>
        <v>High Voltage</v>
      </c>
      <c r="D21" s="14"/>
      <c r="E21" s="14"/>
      <c r="F21" s="30"/>
      <c r="G21" s="16"/>
      <c r="H21" s="17"/>
      <c r="I21" s="30"/>
      <c r="J21" s="27"/>
      <c r="K21" s="17"/>
      <c r="L21" s="17"/>
      <c r="M21" s="16" t="str">
        <f t="shared" ref="M21:M25" si="6">"A03 - Case"</f>
        <v>A03 - Case</v>
      </c>
    </row>
    <row r="22" ht="22.5" customHeight="1">
      <c r="A22" s="12"/>
      <c r="B22" s="12"/>
      <c r="C22" s="30" t="str">
        <f t="shared" si="5"/>
        <v>High Voltage</v>
      </c>
      <c r="D22" s="14"/>
      <c r="E22" s="14"/>
      <c r="F22" s="30"/>
      <c r="G22" s="16"/>
      <c r="H22" s="17"/>
      <c r="I22" s="30"/>
      <c r="J22" s="27"/>
      <c r="K22" s="17"/>
      <c r="L22" s="17"/>
      <c r="M22" s="16" t="str">
        <f t="shared" si="6"/>
        <v>A03 - Case</v>
      </c>
    </row>
    <row r="23" ht="22.5" customHeight="1">
      <c r="A23" s="12"/>
      <c r="B23" s="12"/>
      <c r="C23" s="30" t="str">
        <f t="shared" si="5"/>
        <v>High Voltage</v>
      </c>
      <c r="D23" s="14"/>
      <c r="E23" s="14"/>
      <c r="F23" s="30"/>
      <c r="G23" s="16"/>
      <c r="H23" s="17"/>
      <c r="I23" s="30"/>
      <c r="J23" s="27"/>
      <c r="K23" s="17"/>
      <c r="L23" s="17"/>
      <c r="M23" s="16" t="str">
        <f t="shared" si="6"/>
        <v>A03 - Case</v>
      </c>
    </row>
    <row r="24" ht="22.5" customHeight="1">
      <c r="A24" s="12"/>
      <c r="B24" s="12"/>
      <c r="C24" s="30" t="str">
        <f t="shared" si="5"/>
        <v>High Voltage</v>
      </c>
      <c r="D24" s="14"/>
      <c r="E24" s="14"/>
      <c r="F24" s="30"/>
      <c r="G24" s="16"/>
      <c r="H24" s="17"/>
      <c r="I24" s="30"/>
      <c r="J24" s="27"/>
      <c r="K24" s="17"/>
      <c r="L24" s="17"/>
      <c r="M24" s="16" t="str">
        <f t="shared" si="6"/>
        <v>A03 - Case</v>
      </c>
    </row>
    <row r="25" ht="22.5" customHeight="1">
      <c r="A25" s="12"/>
      <c r="B25" s="12"/>
      <c r="C25" s="30" t="str">
        <f t="shared" si="5"/>
        <v>High Voltage</v>
      </c>
      <c r="D25" s="14"/>
      <c r="E25" s="14"/>
      <c r="F25" s="30"/>
      <c r="G25" s="16"/>
      <c r="H25" s="17"/>
      <c r="I25" s="30"/>
      <c r="J25" s="27"/>
      <c r="K25" s="17"/>
      <c r="L25" s="17"/>
      <c r="M25" s="16" t="str">
        <f t="shared" si="6"/>
        <v>A03 - Case</v>
      </c>
    </row>
    <row r="26" ht="1.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>
      <c r="A27" s="26"/>
    </row>
    <row r="28">
      <c r="A28" s="26"/>
      <c r="B28" s="26"/>
    </row>
    <row r="29" ht="22.5" customHeight="1">
      <c r="A29" s="4" t="s">
        <v>58</v>
      </c>
      <c r="B29" s="4" t="s">
        <v>67</v>
      </c>
      <c r="C29" s="4" t="s">
        <v>0</v>
      </c>
      <c r="D29" s="4" t="s">
        <v>68</v>
      </c>
      <c r="E29" s="4" t="s">
        <v>69</v>
      </c>
      <c r="F29" s="4" t="s">
        <v>60</v>
      </c>
      <c r="G29" s="4" t="s">
        <v>7</v>
      </c>
      <c r="H29" s="4" t="s">
        <v>204</v>
      </c>
      <c r="I29" s="4" t="s">
        <v>72</v>
      </c>
      <c r="J29" s="4" t="s">
        <v>70</v>
      </c>
      <c r="K29" s="4" t="s">
        <v>206</v>
      </c>
      <c r="L29" s="4" t="s">
        <v>62</v>
      </c>
      <c r="M29" s="4" t="s">
        <v>207</v>
      </c>
    </row>
    <row r="30" ht="22.5" customHeight="1">
      <c r="A30" s="12"/>
      <c r="B30" s="12"/>
      <c r="C30" s="30" t="str">
        <f t="shared" ref="C30:C34" si="7">"High Voltage"</f>
        <v>High Voltage</v>
      </c>
      <c r="D30" s="14"/>
      <c r="E30" s="14"/>
      <c r="F30" s="30"/>
      <c r="G30" s="16"/>
      <c r="H30" s="17"/>
      <c r="I30" s="30"/>
      <c r="J30" s="27"/>
      <c r="K30" s="17"/>
      <c r="L30" s="17"/>
      <c r="M30" s="16" t="str">
        <f t="shared" ref="M30:M34" si="8">"A04 - Accumulator Electronics"</f>
        <v>A04 - Accumulator Electronics</v>
      </c>
    </row>
    <row r="31" ht="22.5" customHeight="1">
      <c r="A31" s="12"/>
      <c r="B31" s="12"/>
      <c r="C31" s="30" t="str">
        <f t="shared" si="7"/>
        <v>High Voltage</v>
      </c>
      <c r="D31" s="14"/>
      <c r="E31" s="14"/>
      <c r="F31" s="30"/>
      <c r="G31" s="16"/>
      <c r="H31" s="17"/>
      <c r="I31" s="30"/>
      <c r="J31" s="27"/>
      <c r="K31" s="17"/>
      <c r="L31" s="17"/>
      <c r="M31" s="16" t="str">
        <f t="shared" si="8"/>
        <v>A04 - Accumulator Electronics</v>
      </c>
    </row>
    <row r="32" ht="22.5" customHeight="1">
      <c r="A32" s="12"/>
      <c r="B32" s="12"/>
      <c r="C32" s="30" t="str">
        <f t="shared" si="7"/>
        <v>High Voltage</v>
      </c>
      <c r="D32" s="14"/>
      <c r="E32" s="14"/>
      <c r="F32" s="30"/>
      <c r="G32" s="16"/>
      <c r="H32" s="17"/>
      <c r="I32" s="30"/>
      <c r="J32" s="27"/>
      <c r="K32" s="17"/>
      <c r="L32" s="17"/>
      <c r="M32" s="16" t="str">
        <f t="shared" si="8"/>
        <v>A04 - Accumulator Electronics</v>
      </c>
    </row>
    <row r="33" ht="22.5" customHeight="1">
      <c r="A33" s="12"/>
      <c r="B33" s="12"/>
      <c r="C33" s="30" t="str">
        <f t="shared" si="7"/>
        <v>High Voltage</v>
      </c>
      <c r="D33" s="14"/>
      <c r="E33" s="14"/>
      <c r="F33" s="30"/>
      <c r="G33" s="16"/>
      <c r="H33" s="17"/>
      <c r="I33" s="30"/>
      <c r="J33" s="27"/>
      <c r="K33" s="17"/>
      <c r="L33" s="17"/>
      <c r="M33" s="16" t="str">
        <f t="shared" si="8"/>
        <v>A04 - Accumulator Electronics</v>
      </c>
    </row>
    <row r="34" ht="22.5" customHeight="1">
      <c r="A34" s="12"/>
      <c r="B34" s="12"/>
      <c r="C34" s="30" t="str">
        <f t="shared" si="7"/>
        <v>High Voltage</v>
      </c>
      <c r="D34" s="14"/>
      <c r="E34" s="14"/>
      <c r="F34" s="30"/>
      <c r="G34" s="16"/>
      <c r="H34" s="17"/>
      <c r="I34" s="30"/>
      <c r="J34" s="27"/>
      <c r="K34" s="17"/>
      <c r="L34" s="17"/>
      <c r="M34" s="16" t="str">
        <f t="shared" si="8"/>
        <v>A04 - Accumulator Electronics</v>
      </c>
    </row>
    <row r="35" ht="1.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>
      <c r="A36" s="26"/>
    </row>
    <row r="37">
      <c r="A37" s="26"/>
      <c r="B37" s="26"/>
    </row>
    <row r="38" ht="22.5" customHeight="1">
      <c r="A38" s="4" t="s">
        <v>58</v>
      </c>
      <c r="B38" s="4" t="s">
        <v>67</v>
      </c>
      <c r="C38" s="4" t="s">
        <v>0</v>
      </c>
      <c r="D38" s="4" t="s">
        <v>68</v>
      </c>
      <c r="E38" s="4" t="s">
        <v>69</v>
      </c>
      <c r="F38" s="4" t="s">
        <v>60</v>
      </c>
      <c r="G38" s="4" t="s">
        <v>7</v>
      </c>
      <c r="H38" s="4" t="s">
        <v>204</v>
      </c>
      <c r="I38" s="4" t="s">
        <v>72</v>
      </c>
      <c r="J38" s="4" t="s">
        <v>70</v>
      </c>
      <c r="K38" s="4" t="s">
        <v>206</v>
      </c>
      <c r="L38" s="4" t="s">
        <v>62</v>
      </c>
      <c r="M38" s="4" t="s">
        <v>207</v>
      </c>
    </row>
    <row r="39" ht="22.5" customHeight="1">
      <c r="A39" s="12"/>
      <c r="B39" s="12"/>
      <c r="C39" s="30" t="str">
        <f t="shared" ref="C39:C43" si="9">"High Voltage"</f>
        <v>High Voltage</v>
      </c>
      <c r="D39" s="14"/>
      <c r="E39" s="14"/>
      <c r="F39" s="30"/>
      <c r="G39" s="16"/>
      <c r="H39" s="17"/>
      <c r="I39" s="30"/>
      <c r="J39" s="27"/>
      <c r="K39" s="17"/>
      <c r="L39" s="17"/>
      <c r="M39" s="16" t="str">
        <f t="shared" ref="M39:M43" si="10">"A05 - Inverter Enclosure"</f>
        <v>A05 - Inverter Enclosure</v>
      </c>
    </row>
    <row r="40" ht="22.5" customHeight="1">
      <c r="A40" s="12"/>
      <c r="B40" s="12"/>
      <c r="C40" s="30" t="str">
        <f t="shared" si="9"/>
        <v>High Voltage</v>
      </c>
      <c r="D40" s="14"/>
      <c r="E40" s="14"/>
      <c r="F40" s="30"/>
      <c r="G40" s="16"/>
      <c r="H40" s="17"/>
      <c r="I40" s="30"/>
      <c r="J40" s="27"/>
      <c r="K40" s="17"/>
      <c r="L40" s="17"/>
      <c r="M40" s="16" t="str">
        <f t="shared" si="10"/>
        <v>A05 - Inverter Enclosure</v>
      </c>
    </row>
    <row r="41" ht="22.5" customHeight="1">
      <c r="A41" s="12"/>
      <c r="B41" s="12"/>
      <c r="C41" s="30" t="str">
        <f t="shared" si="9"/>
        <v>High Voltage</v>
      </c>
      <c r="D41" s="14"/>
      <c r="E41" s="14"/>
      <c r="F41" s="30"/>
      <c r="G41" s="16"/>
      <c r="H41" s="17"/>
      <c r="I41" s="30"/>
      <c r="J41" s="27"/>
      <c r="K41" s="17"/>
      <c r="L41" s="17"/>
      <c r="M41" s="16" t="str">
        <f t="shared" si="10"/>
        <v>A05 - Inverter Enclosure</v>
      </c>
    </row>
    <row r="42" ht="22.5" customHeight="1">
      <c r="A42" s="12"/>
      <c r="B42" s="12"/>
      <c r="C42" s="30" t="str">
        <f t="shared" si="9"/>
        <v>High Voltage</v>
      </c>
      <c r="D42" s="14"/>
      <c r="E42" s="14"/>
      <c r="F42" s="30"/>
      <c r="G42" s="16"/>
      <c r="H42" s="17"/>
      <c r="I42" s="30"/>
      <c r="J42" s="27"/>
      <c r="K42" s="17"/>
      <c r="L42" s="17"/>
      <c r="M42" s="16" t="str">
        <f t="shared" si="10"/>
        <v>A05 - Inverter Enclosure</v>
      </c>
    </row>
    <row r="43" ht="22.5" customHeight="1">
      <c r="A43" s="12"/>
      <c r="B43" s="12"/>
      <c r="C43" s="30" t="str">
        <f t="shared" si="9"/>
        <v>High Voltage</v>
      </c>
      <c r="D43" s="14"/>
      <c r="E43" s="14"/>
      <c r="F43" s="30"/>
      <c r="G43" s="16"/>
      <c r="H43" s="17"/>
      <c r="I43" s="30"/>
      <c r="J43" s="27"/>
      <c r="K43" s="17"/>
      <c r="L43" s="17"/>
      <c r="M43" s="16" t="str">
        <f t="shared" si="10"/>
        <v>A05 - Inverter Enclosure</v>
      </c>
    </row>
    <row r="44" ht="1.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</row>
    <row r="45">
      <c r="A45" s="26"/>
    </row>
    <row r="46">
      <c r="A46" s="26"/>
      <c r="B46" s="26"/>
    </row>
    <row r="47" ht="22.5" customHeight="1">
      <c r="A47" s="4" t="s">
        <v>58</v>
      </c>
      <c r="B47" s="4" t="s">
        <v>67</v>
      </c>
      <c r="C47" s="4" t="s">
        <v>0</v>
      </c>
      <c r="D47" s="4" t="s">
        <v>68</v>
      </c>
      <c r="E47" s="4" t="s">
        <v>69</v>
      </c>
      <c r="F47" s="4" t="s">
        <v>60</v>
      </c>
      <c r="G47" s="4" t="s">
        <v>7</v>
      </c>
      <c r="H47" s="4" t="s">
        <v>204</v>
      </c>
      <c r="I47" s="4" t="s">
        <v>72</v>
      </c>
      <c r="J47" s="4" t="s">
        <v>70</v>
      </c>
      <c r="K47" s="4" t="s">
        <v>206</v>
      </c>
      <c r="L47" s="4" t="s">
        <v>62</v>
      </c>
      <c r="M47" s="4" t="s">
        <v>207</v>
      </c>
    </row>
    <row r="48" ht="22.5" customHeight="1">
      <c r="A48" s="12"/>
      <c r="B48" s="12"/>
      <c r="C48" s="30" t="str">
        <f t="shared" ref="C48:C52" si="11">"High Voltage"</f>
        <v>High Voltage</v>
      </c>
      <c r="D48" s="14"/>
      <c r="E48" s="14"/>
      <c r="F48" s="30"/>
      <c r="G48" s="16"/>
      <c r="H48" s="17"/>
      <c r="I48" s="30"/>
      <c r="J48" s="27"/>
      <c r="K48" s="17"/>
      <c r="L48" s="17"/>
      <c r="M48" s="16" t="str">
        <f t="shared" ref="M48:M52" si="12">"A06 - Powerhouse"</f>
        <v>A06 - Powerhouse</v>
      </c>
    </row>
    <row r="49" ht="22.5" customHeight="1">
      <c r="A49" s="12"/>
      <c r="B49" s="12"/>
      <c r="C49" s="30" t="str">
        <f t="shared" si="11"/>
        <v>High Voltage</v>
      </c>
      <c r="D49" s="14"/>
      <c r="E49" s="14"/>
      <c r="F49" s="30"/>
      <c r="G49" s="16"/>
      <c r="H49" s="17"/>
      <c r="I49" s="30"/>
      <c r="J49" s="27"/>
      <c r="K49" s="17"/>
      <c r="L49" s="17"/>
      <c r="M49" s="16" t="str">
        <f t="shared" si="12"/>
        <v>A06 - Powerhouse</v>
      </c>
    </row>
    <row r="50" ht="22.5" customHeight="1">
      <c r="A50" s="12"/>
      <c r="B50" s="12"/>
      <c r="C50" s="30" t="str">
        <f t="shared" si="11"/>
        <v>High Voltage</v>
      </c>
      <c r="D50" s="14"/>
      <c r="E50" s="14"/>
      <c r="F50" s="30"/>
      <c r="G50" s="16"/>
      <c r="H50" s="17"/>
      <c r="I50" s="30"/>
      <c r="J50" s="27"/>
      <c r="K50" s="17"/>
      <c r="L50" s="17"/>
      <c r="M50" s="16" t="str">
        <f t="shared" si="12"/>
        <v>A06 - Powerhouse</v>
      </c>
    </row>
    <row r="51" ht="22.5" customHeight="1">
      <c r="A51" s="12"/>
      <c r="B51" s="12"/>
      <c r="C51" s="30" t="str">
        <f t="shared" si="11"/>
        <v>High Voltage</v>
      </c>
      <c r="D51" s="14"/>
      <c r="E51" s="14"/>
      <c r="F51" s="30"/>
      <c r="G51" s="16"/>
      <c r="H51" s="17"/>
      <c r="I51" s="30"/>
      <c r="J51" s="27"/>
      <c r="K51" s="17"/>
      <c r="L51" s="17"/>
      <c r="M51" s="16" t="str">
        <f t="shared" si="12"/>
        <v>A06 - Powerhouse</v>
      </c>
    </row>
    <row r="52" ht="22.5" customHeight="1">
      <c r="A52" s="12"/>
      <c r="B52" s="12"/>
      <c r="C52" s="30" t="str">
        <f t="shared" si="11"/>
        <v>High Voltage</v>
      </c>
      <c r="D52" s="14"/>
      <c r="E52" s="14"/>
      <c r="F52" s="30"/>
      <c r="G52" s="16"/>
      <c r="H52" s="17"/>
      <c r="I52" s="30"/>
      <c r="J52" s="27"/>
      <c r="K52" s="17"/>
      <c r="L52" s="17"/>
      <c r="M52" s="16" t="str">
        <f t="shared" si="12"/>
        <v>A06 - Powerhouse</v>
      </c>
    </row>
    <row r="53" ht="1.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</row>
    <row r="54">
      <c r="A54" s="26"/>
    </row>
    <row r="55">
      <c r="A55" s="26"/>
      <c r="B55" s="26"/>
    </row>
    <row r="56" ht="22.5" customHeight="1">
      <c r="A56" s="4" t="s">
        <v>58</v>
      </c>
      <c r="B56" s="4" t="s">
        <v>67</v>
      </c>
      <c r="C56" s="4" t="s">
        <v>0</v>
      </c>
      <c r="D56" s="4" t="s">
        <v>68</v>
      </c>
      <c r="E56" s="4" t="s">
        <v>69</v>
      </c>
      <c r="F56" s="4" t="s">
        <v>60</v>
      </c>
      <c r="G56" s="4" t="s">
        <v>7</v>
      </c>
      <c r="H56" s="4" t="s">
        <v>204</v>
      </c>
      <c r="I56" s="4" t="s">
        <v>72</v>
      </c>
      <c r="J56" s="4" t="s">
        <v>70</v>
      </c>
      <c r="K56" s="4" t="s">
        <v>206</v>
      </c>
      <c r="L56" s="4" t="s">
        <v>62</v>
      </c>
      <c r="M56" s="4" t="s">
        <v>207</v>
      </c>
    </row>
    <row r="57" ht="22.5" customHeight="1">
      <c r="A57" s="12"/>
      <c r="B57" s="12"/>
      <c r="C57" s="30" t="str">
        <f t="shared" ref="C57:C61" si="13">"High Voltage"</f>
        <v>High Voltage</v>
      </c>
      <c r="D57" s="14"/>
      <c r="E57" s="14"/>
      <c r="F57" s="13"/>
      <c r="G57" s="16"/>
      <c r="H57" s="17"/>
      <c r="I57" s="30"/>
      <c r="J57" s="27"/>
      <c r="K57" s="17"/>
      <c r="L57" s="17"/>
      <c r="M57" s="16" t="str">
        <f t="shared" ref="M57:M61" si="14">"A07 - Control Panel"</f>
        <v>A07 - Control Panel</v>
      </c>
    </row>
    <row r="58" ht="22.5" customHeight="1">
      <c r="A58" s="12"/>
      <c r="B58" s="12"/>
      <c r="C58" s="30" t="str">
        <f t="shared" si="13"/>
        <v>High Voltage</v>
      </c>
      <c r="D58" s="14"/>
      <c r="E58" s="14"/>
      <c r="F58" s="13"/>
      <c r="G58" s="16"/>
      <c r="H58" s="17"/>
      <c r="I58" s="30"/>
      <c r="J58" s="27"/>
      <c r="K58" s="17"/>
      <c r="L58" s="17"/>
      <c r="M58" s="16" t="str">
        <f t="shared" si="14"/>
        <v>A07 - Control Panel</v>
      </c>
    </row>
    <row r="59" ht="22.5" customHeight="1">
      <c r="A59" s="12"/>
      <c r="B59" s="12"/>
      <c r="C59" s="30" t="str">
        <f t="shared" si="13"/>
        <v>High Voltage</v>
      </c>
      <c r="D59" s="14"/>
      <c r="E59" s="14"/>
      <c r="F59" s="13"/>
      <c r="G59" s="16"/>
      <c r="H59" s="17"/>
      <c r="I59" s="30"/>
      <c r="J59" s="27"/>
      <c r="K59" s="17"/>
      <c r="L59" s="17"/>
      <c r="M59" s="16" t="str">
        <f t="shared" si="14"/>
        <v>A07 - Control Panel</v>
      </c>
    </row>
    <row r="60" ht="22.5" customHeight="1">
      <c r="A60" s="12"/>
      <c r="B60" s="12"/>
      <c r="C60" s="30" t="str">
        <f t="shared" si="13"/>
        <v>High Voltage</v>
      </c>
      <c r="D60" s="14"/>
      <c r="E60" s="14"/>
      <c r="F60" s="13"/>
      <c r="G60" s="16"/>
      <c r="H60" s="17"/>
      <c r="I60" s="30"/>
      <c r="J60" s="27"/>
      <c r="K60" s="17"/>
      <c r="L60" s="17"/>
      <c r="M60" s="16" t="str">
        <f t="shared" si="14"/>
        <v>A07 - Control Panel</v>
      </c>
    </row>
    <row r="61" ht="22.5" customHeight="1">
      <c r="A61" s="12"/>
      <c r="B61" s="12"/>
      <c r="C61" s="30" t="str">
        <f t="shared" si="13"/>
        <v>High Voltage</v>
      </c>
      <c r="D61" s="14"/>
      <c r="E61" s="14"/>
      <c r="F61" s="30"/>
      <c r="G61" s="16"/>
      <c r="H61" s="17"/>
      <c r="I61" s="30"/>
      <c r="J61" s="27"/>
      <c r="K61" s="17"/>
      <c r="L61" s="17"/>
      <c r="M61" s="16" t="str">
        <f t="shared" si="14"/>
        <v>A07 - Control Panel</v>
      </c>
    </row>
    <row r="62" ht="1.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</row>
    <row r="63">
      <c r="A63" s="26"/>
    </row>
    <row r="64">
      <c r="A64" s="26"/>
      <c r="B64" s="26"/>
    </row>
    <row r="65" ht="22.5" customHeight="1">
      <c r="A65" s="4" t="s">
        <v>58</v>
      </c>
      <c r="B65" s="4" t="s">
        <v>67</v>
      </c>
      <c r="C65" s="4" t="s">
        <v>0</v>
      </c>
      <c r="D65" s="4" t="s">
        <v>68</v>
      </c>
      <c r="E65" s="4" t="s">
        <v>69</v>
      </c>
      <c r="F65" s="4" t="s">
        <v>60</v>
      </c>
      <c r="G65" s="4" t="s">
        <v>7</v>
      </c>
      <c r="H65" s="4" t="s">
        <v>204</v>
      </c>
      <c r="I65" s="4" t="s">
        <v>72</v>
      </c>
      <c r="J65" s="4" t="s">
        <v>70</v>
      </c>
      <c r="K65" s="4" t="s">
        <v>206</v>
      </c>
      <c r="L65" s="4" t="s">
        <v>62</v>
      </c>
      <c r="M65" s="4" t="s">
        <v>207</v>
      </c>
    </row>
    <row r="66" ht="22.5" customHeight="1">
      <c r="A66" s="12"/>
      <c r="B66" s="12"/>
      <c r="C66" s="30" t="str">
        <f t="shared" ref="C66:C70" si="15">"High Voltage"</f>
        <v>High Voltage</v>
      </c>
      <c r="D66" s="14"/>
      <c r="E66" s="14"/>
      <c r="F66" s="30"/>
      <c r="G66" s="16"/>
      <c r="H66" s="17"/>
      <c r="I66" s="30"/>
      <c r="J66" s="27"/>
      <c r="K66" s="17"/>
      <c r="L66" s="17"/>
      <c r="M66" s="16" t="str">
        <f t="shared" ref="M66:M70" si="16">"A08 - RTML and TSSI"</f>
        <v>A08 - RTML and TSSI</v>
      </c>
    </row>
    <row r="67" ht="22.5" customHeight="1">
      <c r="A67" s="12"/>
      <c r="B67" s="12"/>
      <c r="C67" s="30" t="str">
        <f t="shared" si="15"/>
        <v>High Voltage</v>
      </c>
      <c r="D67" s="14"/>
      <c r="E67" s="14"/>
      <c r="F67" s="30"/>
      <c r="G67" s="16"/>
      <c r="H67" s="17"/>
      <c r="I67" s="30"/>
      <c r="J67" s="27"/>
      <c r="K67" s="17"/>
      <c r="L67" s="17"/>
      <c r="M67" s="16" t="str">
        <f t="shared" si="16"/>
        <v>A08 - RTML and TSSI</v>
      </c>
    </row>
    <row r="68" ht="22.5" customHeight="1">
      <c r="A68" s="12"/>
      <c r="B68" s="12"/>
      <c r="C68" s="30" t="str">
        <f t="shared" si="15"/>
        <v>High Voltage</v>
      </c>
      <c r="D68" s="14"/>
      <c r="E68" s="14"/>
      <c r="F68" s="30"/>
      <c r="G68" s="16"/>
      <c r="H68" s="17"/>
      <c r="I68" s="30"/>
      <c r="J68" s="27"/>
      <c r="K68" s="17"/>
      <c r="L68" s="17"/>
      <c r="M68" s="16" t="str">
        <f t="shared" si="16"/>
        <v>A08 - RTML and TSSI</v>
      </c>
    </row>
    <row r="69" ht="22.5" customHeight="1">
      <c r="A69" s="12"/>
      <c r="B69" s="12"/>
      <c r="C69" s="30" t="str">
        <f t="shared" si="15"/>
        <v>High Voltage</v>
      </c>
      <c r="D69" s="14"/>
      <c r="E69" s="14"/>
      <c r="F69" s="30"/>
      <c r="G69" s="16"/>
      <c r="H69" s="17"/>
      <c r="I69" s="30"/>
      <c r="J69" s="27"/>
      <c r="K69" s="17"/>
      <c r="L69" s="17"/>
      <c r="M69" s="16" t="str">
        <f t="shared" si="16"/>
        <v>A08 - RTML and TSSI</v>
      </c>
    </row>
    <row r="70" ht="22.5" customHeight="1">
      <c r="A70" s="12"/>
      <c r="B70" s="12"/>
      <c r="C70" s="30" t="str">
        <f t="shared" si="15"/>
        <v>High Voltage</v>
      </c>
      <c r="D70" s="14"/>
      <c r="E70" s="14"/>
      <c r="F70" s="30"/>
      <c r="G70" s="16"/>
      <c r="H70" s="17"/>
      <c r="I70" s="30"/>
      <c r="J70" s="27"/>
      <c r="K70" s="17"/>
      <c r="L70" s="17"/>
      <c r="M70" s="16" t="str">
        <f t="shared" si="16"/>
        <v>A08 - RTML and TSSI</v>
      </c>
    </row>
    <row r="71" ht="1.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</row>
    <row r="72">
      <c r="A72" s="26"/>
    </row>
    <row r="73">
      <c r="A73" s="26"/>
      <c r="B73" s="26"/>
    </row>
    <row r="74" ht="22.5" customHeight="1">
      <c r="A74" s="4" t="s">
        <v>58</v>
      </c>
      <c r="B74" s="4" t="s">
        <v>67</v>
      </c>
      <c r="C74" s="4" t="s">
        <v>0</v>
      </c>
      <c r="D74" s="4" t="s">
        <v>68</v>
      </c>
      <c r="E74" s="4" t="s">
        <v>69</v>
      </c>
      <c r="F74" s="4" t="s">
        <v>60</v>
      </c>
      <c r="G74" s="4" t="s">
        <v>7</v>
      </c>
      <c r="H74" s="4" t="s">
        <v>204</v>
      </c>
      <c r="I74" s="4" t="s">
        <v>72</v>
      </c>
      <c r="J74" s="4" t="s">
        <v>70</v>
      </c>
      <c r="K74" s="4" t="s">
        <v>206</v>
      </c>
      <c r="L74" s="4" t="s">
        <v>62</v>
      </c>
      <c r="M74" s="4" t="s">
        <v>207</v>
      </c>
    </row>
    <row r="75" ht="22.5" customHeight="1">
      <c r="A75" s="12"/>
      <c r="B75" s="12"/>
      <c r="C75" s="30" t="str">
        <f t="shared" ref="C75:C79" si="17">"High Voltage"</f>
        <v>High Voltage</v>
      </c>
      <c r="D75" s="14"/>
      <c r="E75" s="14"/>
      <c r="F75" s="30"/>
      <c r="G75" s="16"/>
      <c r="H75" s="17"/>
      <c r="I75" s="30"/>
      <c r="J75" s="27"/>
      <c r="K75" s="17"/>
      <c r="L75" s="17"/>
      <c r="M75" s="16" t="str">
        <f t="shared" ref="M75:M79" si="18">"A09 - Other High Voltage"</f>
        <v>A09 - Other High Voltage</v>
      </c>
    </row>
    <row r="76" ht="22.5" customHeight="1">
      <c r="A76" s="12"/>
      <c r="B76" s="12"/>
      <c r="C76" s="30" t="str">
        <f t="shared" si="17"/>
        <v>High Voltage</v>
      </c>
      <c r="D76" s="14"/>
      <c r="E76" s="14"/>
      <c r="F76" s="30"/>
      <c r="G76" s="16"/>
      <c r="H76" s="17"/>
      <c r="I76" s="30"/>
      <c r="J76" s="27"/>
      <c r="K76" s="17"/>
      <c r="L76" s="17"/>
      <c r="M76" s="16" t="str">
        <f t="shared" si="18"/>
        <v>A09 - Other High Voltage</v>
      </c>
    </row>
    <row r="77" ht="22.5" customHeight="1">
      <c r="A77" s="12"/>
      <c r="B77" s="12"/>
      <c r="C77" s="30" t="str">
        <f t="shared" si="17"/>
        <v>High Voltage</v>
      </c>
      <c r="D77" s="14"/>
      <c r="E77" s="14"/>
      <c r="F77" s="30"/>
      <c r="G77" s="16"/>
      <c r="H77" s="17"/>
      <c r="I77" s="30"/>
      <c r="J77" s="27"/>
      <c r="K77" s="17"/>
      <c r="L77" s="17"/>
      <c r="M77" s="16" t="str">
        <f t="shared" si="18"/>
        <v>A09 - Other High Voltage</v>
      </c>
    </row>
    <row r="78" ht="22.5" customHeight="1">
      <c r="A78" s="12"/>
      <c r="B78" s="12"/>
      <c r="C78" s="30" t="str">
        <f t="shared" si="17"/>
        <v>High Voltage</v>
      </c>
      <c r="D78" s="14"/>
      <c r="E78" s="14"/>
      <c r="F78" s="30"/>
      <c r="G78" s="16"/>
      <c r="H78" s="17"/>
      <c r="I78" s="30"/>
      <c r="J78" s="27"/>
      <c r="K78" s="17"/>
      <c r="L78" s="17"/>
      <c r="M78" s="16" t="str">
        <f t="shared" si="18"/>
        <v>A09 - Other High Voltage</v>
      </c>
    </row>
    <row r="79" ht="22.5" customHeight="1">
      <c r="A79" s="12"/>
      <c r="B79" s="12"/>
      <c r="C79" s="30" t="str">
        <f t="shared" si="17"/>
        <v>High Voltage</v>
      </c>
      <c r="D79" s="14"/>
      <c r="E79" s="14"/>
      <c r="F79" s="30"/>
      <c r="G79" s="16"/>
      <c r="H79" s="17"/>
      <c r="I79" s="30"/>
      <c r="J79" s="27"/>
      <c r="K79" s="17"/>
      <c r="L79" s="17"/>
      <c r="M79" s="16" t="str">
        <f t="shared" si="18"/>
        <v>A09 - Other High Voltage</v>
      </c>
    </row>
    <row r="80" ht="1.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</row>
    <row r="81">
      <c r="A81" s="26"/>
    </row>
  </sheetData>
  <mergeCells count="18">
    <mergeCell ref="B1:M1"/>
    <mergeCell ref="A9:M9"/>
    <mergeCell ref="B10:M10"/>
    <mergeCell ref="A18:M18"/>
    <mergeCell ref="B19:M19"/>
    <mergeCell ref="A27:M27"/>
    <mergeCell ref="B28:M28"/>
    <mergeCell ref="B64:M64"/>
    <mergeCell ref="A72:M72"/>
    <mergeCell ref="B73:M73"/>
    <mergeCell ref="A81:M81"/>
    <mergeCell ref="A36:M36"/>
    <mergeCell ref="B37:M37"/>
    <mergeCell ref="A45:M45"/>
    <mergeCell ref="B46:M46"/>
    <mergeCell ref="A54:M54"/>
    <mergeCell ref="B55:M55"/>
    <mergeCell ref="A63:M63"/>
  </mergeCells>
  <dataValidations>
    <dataValidation type="list" allowBlank="1" sqref="J3:J7 J12:J16 J21:J25 J30:J34 J39:J43 J48:J52 J57:J61 J66:J70 J75:J79">
      <formula1>#REF!</formula1>
    </dataValidation>
    <dataValidation type="list" allowBlank="1" sqref="F3:F7 F12:F16 F21:F25 F30:F34 F39:F43 F48:F52 F57:F61 F66:F70 F75:F79">
      <formula1>#REF!</formula1>
    </dataValidation>
    <dataValidation type="custom" allowBlank="1" showDropDown="1" sqref="D3:E7 D12:E16 D21:E25 D30:E34 D39:E43 D48:E52 D57:E61 D66:E70 D75:E79">
      <formula1>OR(NOT(ISERROR(DATEVALUE(D3))), AND(ISNUMBER(D3), LEFT(CELL("format", D3))="D"))</formula1>
    </dataValidation>
    <dataValidation type="list" allowBlank="1" sqref="I3:I7 I12:I16 I21:I25 I30:I34 I39:I43 I48:I52 I57:I61 I66:I70 I75:I79">
      <formula1>#REF!</formula1>
    </dataValidation>
    <dataValidation allowBlank="1" showDropDown="1" sqref="B3:B7 K3:L7 B12:B16 K12:L16 B21:B25 K21:L25 B30:B34 K30:L34 B39:B43 K39:L43 B48:B52 K48:L52 B57:B61 K57:L61 B66:B70 K66:L70 B75:B79 K75:L79"/>
    <dataValidation allowBlank="1" showDropDown="1" sqref="A3:A7 A12:A16 A21:A25 A30:A34 A39:A43 A48:A52 A57:A61 A66:A70 A75:A79"/>
    <dataValidation type="list" allowBlank="1" sqref="G3:G7 M3:M7 G12:G16 M12:M16 G21:G25 M21:M25 G30:G34 M30:M34 G39:G43 M39:M43 G48:G52 M48:M52 G57:G61 M57:M61 G66:G70 M66:M70 G75:G79 M75:M79">
      <formula1>#REF!</formula1>
    </dataValidation>
    <dataValidation type="list" allowBlank="1" sqref="C3:C7 C12:C16 C21:C25 C30:C34 C39:C43 C48:C52 C57:C61 C66:C70 C75:C79">
      <formula1>#REF!</formula1>
    </dataValidation>
  </dataValidation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6F01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7.0"/>
    <col customWidth="1" hidden="1" min="3" max="3" width="16.38"/>
    <col customWidth="1" min="4" max="5" width="13.88"/>
    <col customWidth="1" min="6" max="6" width="14.38"/>
    <col customWidth="1" min="7" max="7" width="17.0"/>
    <col customWidth="1" min="8" max="8" width="17.63"/>
    <col customWidth="1" min="9" max="9" width="14.0"/>
    <col customWidth="1" min="10" max="10" width="19.5"/>
    <col customWidth="1" min="11" max="12" width="25.13"/>
    <col customWidth="1" hidden="1" min="13" max="13" width="25.13"/>
  </cols>
  <sheetData>
    <row r="1">
      <c r="A1" s="26"/>
      <c r="B1" s="26"/>
    </row>
    <row r="2" ht="22.5" customHeight="1">
      <c r="A2" s="4" t="s">
        <v>58</v>
      </c>
      <c r="B2" s="4" t="s">
        <v>67</v>
      </c>
      <c r="C2" s="4" t="s">
        <v>0</v>
      </c>
      <c r="D2" s="4" t="s">
        <v>68</v>
      </c>
      <c r="E2" s="4" t="s">
        <v>69</v>
      </c>
      <c r="F2" s="4" t="s">
        <v>60</v>
      </c>
      <c r="G2" s="4" t="s">
        <v>7</v>
      </c>
      <c r="H2" s="4" t="s">
        <v>204</v>
      </c>
      <c r="I2" s="4" t="s">
        <v>72</v>
      </c>
      <c r="J2" s="4" t="s">
        <v>70</v>
      </c>
      <c r="K2" s="4" t="s">
        <v>206</v>
      </c>
      <c r="L2" s="4" t="s">
        <v>62</v>
      </c>
      <c r="M2" s="4" t="s">
        <v>207</v>
      </c>
    </row>
    <row r="3" ht="22.5" customHeight="1">
      <c r="A3" s="12" t="s">
        <v>265</v>
      </c>
      <c r="B3" s="12" t="s">
        <v>266</v>
      </c>
      <c r="C3" s="13" t="s">
        <v>93</v>
      </c>
      <c r="D3" s="15">
        <v>46216.0</v>
      </c>
      <c r="E3" s="15">
        <v>46243.0</v>
      </c>
      <c r="F3" s="13" t="s">
        <v>90</v>
      </c>
      <c r="G3" s="16"/>
      <c r="H3" s="28" t="s">
        <v>870</v>
      </c>
      <c r="I3" s="13" t="s">
        <v>81</v>
      </c>
      <c r="J3" s="29"/>
      <c r="K3" s="12" t="s">
        <v>225</v>
      </c>
      <c r="L3" s="17"/>
      <c r="M3" s="16" t="str">
        <f t="shared" ref="M3:M7" si="1">"A01 - Low Voltage"</f>
        <v>A01 - Low Voltage</v>
      </c>
    </row>
    <row r="4" ht="22.5" customHeight="1">
      <c r="A4" s="12"/>
      <c r="B4" s="12"/>
      <c r="C4" s="30" t="str">
        <f t="shared" ref="C4:C7" si="2">"Low Voltage"</f>
        <v>Low Voltage</v>
      </c>
      <c r="D4" s="14"/>
      <c r="E4" s="14"/>
      <c r="F4" s="30"/>
      <c r="G4" s="16"/>
      <c r="H4" s="17"/>
      <c r="I4" s="30"/>
      <c r="J4" s="27"/>
      <c r="K4" s="17"/>
      <c r="L4" s="17"/>
      <c r="M4" s="16" t="str">
        <f t="shared" si="1"/>
        <v>A01 - Low Voltage</v>
      </c>
    </row>
    <row r="5" ht="22.5" customHeight="1">
      <c r="A5" s="12"/>
      <c r="B5" s="12"/>
      <c r="C5" s="30" t="str">
        <f t="shared" si="2"/>
        <v>Low Voltage</v>
      </c>
      <c r="D5" s="14"/>
      <c r="E5" s="14"/>
      <c r="F5" s="30"/>
      <c r="G5" s="16"/>
      <c r="H5" s="17"/>
      <c r="I5" s="30"/>
      <c r="J5" s="27"/>
      <c r="K5" s="17"/>
      <c r="L5" s="17"/>
      <c r="M5" s="16" t="str">
        <f t="shared" si="1"/>
        <v>A01 - Low Voltage</v>
      </c>
    </row>
    <row r="6" ht="22.5" customHeight="1">
      <c r="A6" s="12"/>
      <c r="B6" s="12"/>
      <c r="C6" s="30" t="str">
        <f t="shared" si="2"/>
        <v>Low Voltage</v>
      </c>
      <c r="D6" s="14"/>
      <c r="E6" s="14"/>
      <c r="F6" s="30"/>
      <c r="G6" s="16"/>
      <c r="H6" s="17"/>
      <c r="I6" s="30"/>
      <c r="J6" s="27"/>
      <c r="K6" s="17"/>
      <c r="L6" s="17"/>
      <c r="M6" s="16" t="str">
        <f t="shared" si="1"/>
        <v>A01 - Low Voltage</v>
      </c>
    </row>
    <row r="7" ht="22.5" customHeight="1">
      <c r="A7" s="12"/>
      <c r="B7" s="12"/>
      <c r="C7" s="30" t="str">
        <f t="shared" si="2"/>
        <v>Low Voltage</v>
      </c>
      <c r="D7" s="14"/>
      <c r="E7" s="14"/>
      <c r="F7" s="30"/>
      <c r="G7" s="16"/>
      <c r="H7" s="17"/>
      <c r="I7" s="30"/>
      <c r="J7" s="27"/>
      <c r="K7" s="17"/>
      <c r="L7" s="17"/>
      <c r="M7" s="16" t="str">
        <f t="shared" si="1"/>
        <v>A01 - Low Voltage</v>
      </c>
    </row>
    <row r="8" ht="1.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>
      <c r="A9" s="26"/>
    </row>
    <row r="10">
      <c r="A10" s="26"/>
      <c r="B10" s="26"/>
    </row>
    <row r="11" ht="22.5" customHeight="1">
      <c r="A11" s="4" t="s">
        <v>58</v>
      </c>
      <c r="B11" s="4" t="s">
        <v>67</v>
      </c>
      <c r="C11" s="4" t="s">
        <v>0</v>
      </c>
      <c r="D11" s="4" t="s">
        <v>68</v>
      </c>
      <c r="E11" s="4" t="s">
        <v>69</v>
      </c>
      <c r="F11" s="4" t="s">
        <v>60</v>
      </c>
      <c r="G11" s="4" t="s">
        <v>7</v>
      </c>
      <c r="H11" s="4" t="s">
        <v>204</v>
      </c>
      <c r="I11" s="4" t="s">
        <v>72</v>
      </c>
      <c r="J11" s="4" t="s">
        <v>70</v>
      </c>
      <c r="K11" s="4" t="s">
        <v>206</v>
      </c>
      <c r="L11" s="4" t="s">
        <v>62</v>
      </c>
      <c r="M11" s="4" t="s">
        <v>207</v>
      </c>
    </row>
    <row r="12" ht="22.5" customHeight="1">
      <c r="A12" s="12"/>
      <c r="B12" s="12"/>
      <c r="C12" s="30" t="str">
        <f t="shared" ref="C12:C16" si="3">"Low Voltage"</f>
        <v>Low Voltage</v>
      </c>
      <c r="D12" s="14"/>
      <c r="E12" s="14"/>
      <c r="F12" s="30"/>
      <c r="G12" s="16"/>
      <c r="H12" s="17"/>
      <c r="I12" s="30"/>
      <c r="J12" s="29"/>
      <c r="K12" s="17"/>
      <c r="L12" s="17"/>
      <c r="M12" s="16" t="str">
        <f t="shared" ref="M12:M16" si="4">"A02 - Harness"</f>
        <v>A02 - Harness</v>
      </c>
    </row>
    <row r="13" ht="22.5" customHeight="1">
      <c r="A13" s="12"/>
      <c r="B13" s="12"/>
      <c r="C13" s="30" t="str">
        <f t="shared" si="3"/>
        <v>Low Voltage</v>
      </c>
      <c r="D13" s="14"/>
      <c r="E13" s="14"/>
      <c r="F13" s="30"/>
      <c r="G13" s="16"/>
      <c r="H13" s="17"/>
      <c r="I13" s="30"/>
      <c r="J13" s="27"/>
      <c r="K13" s="17"/>
      <c r="L13" s="17"/>
      <c r="M13" s="16" t="str">
        <f t="shared" si="4"/>
        <v>A02 - Harness</v>
      </c>
    </row>
    <row r="14" ht="22.5" customHeight="1">
      <c r="A14" s="12"/>
      <c r="B14" s="12"/>
      <c r="C14" s="30" t="str">
        <f t="shared" si="3"/>
        <v>Low Voltage</v>
      </c>
      <c r="D14" s="14"/>
      <c r="E14" s="14"/>
      <c r="F14" s="30"/>
      <c r="G14" s="16"/>
      <c r="H14" s="17"/>
      <c r="I14" s="30"/>
      <c r="J14" s="27"/>
      <c r="K14" s="17"/>
      <c r="L14" s="17"/>
      <c r="M14" s="16" t="str">
        <f t="shared" si="4"/>
        <v>A02 - Harness</v>
      </c>
    </row>
    <row r="15" ht="22.5" customHeight="1">
      <c r="A15" s="12"/>
      <c r="B15" s="12"/>
      <c r="C15" s="30" t="str">
        <f t="shared" si="3"/>
        <v>Low Voltage</v>
      </c>
      <c r="D15" s="14"/>
      <c r="E15" s="14"/>
      <c r="F15" s="30"/>
      <c r="G15" s="16"/>
      <c r="H15" s="17"/>
      <c r="I15" s="30"/>
      <c r="J15" s="27"/>
      <c r="K15" s="17"/>
      <c r="L15" s="17"/>
      <c r="M15" s="16" t="str">
        <f t="shared" si="4"/>
        <v>A02 - Harness</v>
      </c>
    </row>
    <row r="16" ht="22.5" customHeight="1">
      <c r="A16" s="12"/>
      <c r="B16" s="12"/>
      <c r="C16" s="30" t="str">
        <f t="shared" si="3"/>
        <v>Low Voltage</v>
      </c>
      <c r="D16" s="14"/>
      <c r="E16" s="14"/>
      <c r="F16" s="30"/>
      <c r="G16" s="16"/>
      <c r="H16" s="17"/>
      <c r="I16" s="30"/>
      <c r="J16" s="27"/>
      <c r="K16" s="17"/>
      <c r="L16" s="17"/>
      <c r="M16" s="16" t="str">
        <f t="shared" si="4"/>
        <v>A02 - Harness</v>
      </c>
    </row>
    <row r="17" ht="1.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</row>
    <row r="18">
      <c r="A18" s="26"/>
    </row>
    <row r="19">
      <c r="A19" s="26"/>
      <c r="B19" s="26"/>
    </row>
    <row r="20" ht="22.5" customHeight="1">
      <c r="A20" s="4" t="s">
        <v>58</v>
      </c>
      <c r="B20" s="4" t="s">
        <v>67</v>
      </c>
      <c r="C20" s="4" t="s">
        <v>0</v>
      </c>
      <c r="D20" s="4" t="s">
        <v>68</v>
      </c>
      <c r="E20" s="4" t="s">
        <v>69</v>
      </c>
      <c r="F20" s="4" t="s">
        <v>60</v>
      </c>
      <c r="G20" s="4" t="s">
        <v>7</v>
      </c>
      <c r="H20" s="4" t="s">
        <v>204</v>
      </c>
      <c r="I20" s="4" t="s">
        <v>72</v>
      </c>
      <c r="J20" s="4" t="s">
        <v>70</v>
      </c>
      <c r="K20" s="4" t="s">
        <v>206</v>
      </c>
      <c r="L20" s="4" t="s">
        <v>62</v>
      </c>
      <c r="M20" s="4" t="s">
        <v>207</v>
      </c>
    </row>
    <row r="21" ht="22.5" customHeight="1">
      <c r="A21" s="12"/>
      <c r="B21" s="12"/>
      <c r="C21" s="30" t="str">
        <f t="shared" ref="C21:C25" si="5">"Low Voltage"</f>
        <v>Low Voltage</v>
      </c>
      <c r="D21" s="14"/>
      <c r="E21" s="14"/>
      <c r="F21" s="30"/>
      <c r="G21" s="16"/>
      <c r="H21" s="17"/>
      <c r="I21" s="30"/>
      <c r="J21" s="27"/>
      <c r="K21" s="17"/>
      <c r="L21" s="17"/>
      <c r="M21" s="16" t="str">
        <f t="shared" ref="M21:M25" si="6">"A03 - ECU"</f>
        <v>A03 - ECU</v>
      </c>
    </row>
    <row r="22" ht="22.5" customHeight="1">
      <c r="A22" s="12"/>
      <c r="B22" s="12"/>
      <c r="C22" s="30" t="str">
        <f t="shared" si="5"/>
        <v>Low Voltage</v>
      </c>
      <c r="D22" s="14"/>
      <c r="E22" s="14"/>
      <c r="F22" s="30"/>
      <c r="G22" s="16"/>
      <c r="H22" s="17"/>
      <c r="I22" s="30"/>
      <c r="J22" s="27"/>
      <c r="K22" s="17"/>
      <c r="L22" s="17"/>
      <c r="M22" s="16" t="str">
        <f t="shared" si="6"/>
        <v>A03 - ECU</v>
      </c>
    </row>
    <row r="23" ht="22.5" customHeight="1">
      <c r="A23" s="12"/>
      <c r="B23" s="12"/>
      <c r="C23" s="30" t="str">
        <f t="shared" si="5"/>
        <v>Low Voltage</v>
      </c>
      <c r="D23" s="14"/>
      <c r="E23" s="14"/>
      <c r="F23" s="30"/>
      <c r="G23" s="16"/>
      <c r="H23" s="17"/>
      <c r="I23" s="30"/>
      <c r="J23" s="27"/>
      <c r="K23" s="17"/>
      <c r="L23" s="17"/>
      <c r="M23" s="16" t="str">
        <f t="shared" si="6"/>
        <v>A03 - ECU</v>
      </c>
    </row>
    <row r="24" ht="22.5" customHeight="1">
      <c r="A24" s="12"/>
      <c r="B24" s="12"/>
      <c r="C24" s="30" t="str">
        <f t="shared" si="5"/>
        <v>Low Voltage</v>
      </c>
      <c r="D24" s="14"/>
      <c r="E24" s="14"/>
      <c r="F24" s="30"/>
      <c r="G24" s="16"/>
      <c r="H24" s="17"/>
      <c r="I24" s="30"/>
      <c r="J24" s="27"/>
      <c r="K24" s="17"/>
      <c r="L24" s="17"/>
      <c r="M24" s="16" t="str">
        <f t="shared" si="6"/>
        <v>A03 - ECU</v>
      </c>
    </row>
    <row r="25" ht="22.5" customHeight="1">
      <c r="A25" s="12"/>
      <c r="B25" s="12"/>
      <c r="C25" s="30" t="str">
        <f t="shared" si="5"/>
        <v>Low Voltage</v>
      </c>
      <c r="D25" s="14"/>
      <c r="E25" s="14"/>
      <c r="F25" s="30"/>
      <c r="G25" s="16"/>
      <c r="H25" s="17"/>
      <c r="I25" s="30"/>
      <c r="J25" s="27"/>
      <c r="K25" s="17"/>
      <c r="L25" s="17"/>
      <c r="M25" s="16" t="str">
        <f t="shared" si="6"/>
        <v>A03 - ECU</v>
      </c>
    </row>
    <row r="26" ht="1.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>
      <c r="A27" s="26"/>
    </row>
    <row r="28">
      <c r="A28" s="26"/>
      <c r="B28" s="26"/>
    </row>
    <row r="29" ht="22.5" customHeight="1">
      <c r="A29" s="4" t="s">
        <v>58</v>
      </c>
      <c r="B29" s="4" t="s">
        <v>67</v>
      </c>
      <c r="C29" s="4" t="s">
        <v>0</v>
      </c>
      <c r="D29" s="4" t="s">
        <v>68</v>
      </c>
      <c r="E29" s="4" t="s">
        <v>69</v>
      </c>
      <c r="F29" s="4" t="s">
        <v>60</v>
      </c>
      <c r="G29" s="4" t="s">
        <v>7</v>
      </c>
      <c r="H29" s="4" t="s">
        <v>204</v>
      </c>
      <c r="I29" s="4" t="s">
        <v>72</v>
      </c>
      <c r="J29" s="4" t="s">
        <v>70</v>
      </c>
      <c r="K29" s="4" t="s">
        <v>206</v>
      </c>
      <c r="L29" s="4" t="s">
        <v>62</v>
      </c>
      <c r="M29" s="4" t="s">
        <v>207</v>
      </c>
    </row>
    <row r="30" ht="22.5" customHeight="1">
      <c r="A30" s="12" t="s">
        <v>267</v>
      </c>
      <c r="B30" s="12" t="s">
        <v>268</v>
      </c>
      <c r="C30" s="13" t="s">
        <v>93</v>
      </c>
      <c r="D30" s="15">
        <v>46235.0</v>
      </c>
      <c r="E30" s="15">
        <v>46266.0</v>
      </c>
      <c r="F30" s="13" t="s">
        <v>80</v>
      </c>
      <c r="G30" s="16"/>
      <c r="H30" s="28" t="s">
        <v>872</v>
      </c>
      <c r="I30" s="13" t="s">
        <v>81</v>
      </c>
      <c r="J30" s="27"/>
      <c r="K30" s="12" t="s">
        <v>873</v>
      </c>
      <c r="L30" s="17"/>
      <c r="M30" s="16" t="str">
        <f t="shared" ref="M30:M37" si="7">"A04 - BMS Child"</f>
        <v>A04 - BMS Child</v>
      </c>
    </row>
    <row r="31" ht="22.5" customHeight="1">
      <c r="A31" s="12" t="s">
        <v>269</v>
      </c>
      <c r="B31" s="12" t="s">
        <v>270</v>
      </c>
      <c r="C31" s="13" t="s">
        <v>93</v>
      </c>
      <c r="D31" s="15">
        <v>46272.0</v>
      </c>
      <c r="E31" s="15">
        <v>46286.0</v>
      </c>
      <c r="F31" s="13" t="s">
        <v>75</v>
      </c>
      <c r="G31" s="16"/>
      <c r="H31" s="28" t="s">
        <v>872</v>
      </c>
      <c r="I31" s="13" t="s">
        <v>81</v>
      </c>
      <c r="J31" s="27"/>
      <c r="K31" s="12" t="s">
        <v>874</v>
      </c>
      <c r="L31" s="12" t="s">
        <v>875</v>
      </c>
      <c r="M31" s="16" t="str">
        <f t="shared" si="7"/>
        <v>A04 - BMS Child</v>
      </c>
    </row>
    <row r="32" ht="22.5" customHeight="1">
      <c r="A32" s="12" t="s">
        <v>271</v>
      </c>
      <c r="B32" s="12" t="s">
        <v>272</v>
      </c>
      <c r="C32" s="13" t="s">
        <v>93</v>
      </c>
      <c r="D32" s="15">
        <v>46286.0</v>
      </c>
      <c r="E32" s="15">
        <v>46296.0</v>
      </c>
      <c r="F32" s="13" t="s">
        <v>75</v>
      </c>
      <c r="G32" s="16"/>
      <c r="H32" s="28" t="s">
        <v>872</v>
      </c>
      <c r="I32" s="13" t="s">
        <v>81</v>
      </c>
      <c r="J32" s="27"/>
      <c r="K32" s="12" t="s">
        <v>876</v>
      </c>
      <c r="L32" s="12" t="s">
        <v>877</v>
      </c>
      <c r="M32" s="16" t="str">
        <f t="shared" si="7"/>
        <v>A04 - BMS Child</v>
      </c>
    </row>
    <row r="33" ht="22.5" customHeight="1">
      <c r="A33" s="12" t="s">
        <v>273</v>
      </c>
      <c r="B33" s="12" t="s">
        <v>274</v>
      </c>
      <c r="C33" s="13" t="s">
        <v>93</v>
      </c>
      <c r="D33" s="15">
        <v>46296.0</v>
      </c>
      <c r="E33" s="15">
        <v>46342.0</v>
      </c>
      <c r="F33" s="13" t="s">
        <v>75</v>
      </c>
      <c r="G33" s="16"/>
      <c r="H33" s="28" t="s">
        <v>872</v>
      </c>
      <c r="I33" s="13" t="s">
        <v>81</v>
      </c>
      <c r="J33" s="27"/>
      <c r="K33" s="12" t="s">
        <v>873</v>
      </c>
      <c r="L33" s="12" t="s">
        <v>878</v>
      </c>
      <c r="M33" s="16" t="str">
        <f t="shared" si="7"/>
        <v>A04 - BMS Child</v>
      </c>
    </row>
    <row r="34" ht="22.5" customHeight="1">
      <c r="A34" s="12" t="s">
        <v>275</v>
      </c>
      <c r="B34" s="12" t="s">
        <v>276</v>
      </c>
      <c r="C34" s="13" t="s">
        <v>93</v>
      </c>
      <c r="D34" s="15">
        <v>46349.0</v>
      </c>
      <c r="E34" s="15">
        <v>46357.0</v>
      </c>
      <c r="F34" s="13" t="s">
        <v>75</v>
      </c>
      <c r="G34" s="16"/>
      <c r="H34" s="28" t="s">
        <v>872</v>
      </c>
      <c r="I34" s="13" t="s">
        <v>81</v>
      </c>
      <c r="J34" s="27"/>
      <c r="K34" s="12" t="s">
        <v>879</v>
      </c>
      <c r="L34" s="12" t="s">
        <v>880</v>
      </c>
      <c r="M34" s="16" t="str">
        <f t="shared" si="7"/>
        <v>A04 - BMS Child</v>
      </c>
    </row>
    <row r="35" ht="22.5" customHeight="1">
      <c r="A35" s="12" t="s">
        <v>277</v>
      </c>
      <c r="B35" s="12" t="s">
        <v>278</v>
      </c>
      <c r="C35" s="13" t="s">
        <v>93</v>
      </c>
      <c r="D35" s="15">
        <v>46357.0</v>
      </c>
      <c r="E35" s="15">
        <v>46402.0</v>
      </c>
      <c r="F35" s="13" t="s">
        <v>75</v>
      </c>
      <c r="G35" s="16"/>
      <c r="H35" s="28" t="s">
        <v>872</v>
      </c>
      <c r="I35" s="13" t="s">
        <v>81</v>
      </c>
      <c r="J35" s="27"/>
      <c r="K35" s="12" t="s">
        <v>881</v>
      </c>
      <c r="L35" s="12" t="s">
        <v>882</v>
      </c>
      <c r="M35" s="16" t="str">
        <f t="shared" si="7"/>
        <v>A04 - BMS Child</v>
      </c>
    </row>
    <row r="36" ht="22.5" customHeight="1">
      <c r="A36" s="12"/>
      <c r="B36" s="12"/>
      <c r="C36" s="30" t="str">
        <f t="shared" ref="C36:C37" si="8">"Low Voltage"</f>
        <v>Low Voltage</v>
      </c>
      <c r="D36" s="14"/>
      <c r="E36" s="14"/>
      <c r="F36" s="30"/>
      <c r="G36" s="16"/>
      <c r="H36" s="17"/>
      <c r="I36" s="30"/>
      <c r="J36" s="27"/>
      <c r="K36" s="17"/>
      <c r="L36" s="17"/>
      <c r="M36" s="16" t="str">
        <f t="shared" si="7"/>
        <v>A04 - BMS Child</v>
      </c>
    </row>
    <row r="37" ht="22.5" customHeight="1">
      <c r="A37" s="12"/>
      <c r="B37" s="12"/>
      <c r="C37" s="30" t="str">
        <f t="shared" si="8"/>
        <v>Low Voltage</v>
      </c>
      <c r="D37" s="14"/>
      <c r="E37" s="14"/>
      <c r="F37" s="30"/>
      <c r="G37" s="16"/>
      <c r="H37" s="17"/>
      <c r="I37" s="30"/>
      <c r="J37" s="27"/>
      <c r="K37" s="17"/>
      <c r="L37" s="17"/>
      <c r="M37" s="16" t="str">
        <f t="shared" si="7"/>
        <v>A04 - BMS Child</v>
      </c>
    </row>
    <row r="38" ht="1.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>
      <c r="A39" s="26"/>
    </row>
    <row r="40">
      <c r="A40" s="26"/>
      <c r="B40" s="26"/>
    </row>
    <row r="41" ht="22.5" customHeight="1">
      <c r="A41" s="4" t="s">
        <v>58</v>
      </c>
      <c r="B41" s="4" t="s">
        <v>67</v>
      </c>
      <c r="C41" s="4" t="s">
        <v>0</v>
      </c>
      <c r="D41" s="4" t="s">
        <v>68</v>
      </c>
      <c r="E41" s="4" t="s">
        <v>69</v>
      </c>
      <c r="F41" s="4" t="s">
        <v>60</v>
      </c>
      <c r="G41" s="4" t="s">
        <v>7</v>
      </c>
      <c r="H41" s="4" t="s">
        <v>204</v>
      </c>
      <c r="I41" s="4" t="s">
        <v>72</v>
      </c>
      <c r="J41" s="4" t="s">
        <v>70</v>
      </c>
      <c r="K41" s="4" t="s">
        <v>206</v>
      </c>
      <c r="L41" s="4" t="s">
        <v>62</v>
      </c>
      <c r="M41" s="4" t="s">
        <v>207</v>
      </c>
    </row>
    <row r="42" ht="22.5" customHeight="1">
      <c r="A42" s="12"/>
      <c r="B42" s="12"/>
      <c r="C42" s="30" t="str">
        <f t="shared" ref="C42:C46" si="9">"Low Voltage"</f>
        <v>Low Voltage</v>
      </c>
      <c r="D42" s="14"/>
      <c r="E42" s="14"/>
      <c r="F42" s="30"/>
      <c r="G42" s="16"/>
      <c r="H42" s="17"/>
      <c r="I42" s="30"/>
      <c r="J42" s="27"/>
      <c r="K42" s="17"/>
      <c r="L42" s="17"/>
      <c r="M42" s="16" t="str">
        <f t="shared" ref="M42:M46" si="10">"A05 - ACU"</f>
        <v>A05 - ACU</v>
      </c>
    </row>
    <row r="43" ht="22.5" customHeight="1">
      <c r="A43" s="12"/>
      <c r="B43" s="12"/>
      <c r="C43" s="30" t="str">
        <f t="shared" si="9"/>
        <v>Low Voltage</v>
      </c>
      <c r="D43" s="14"/>
      <c r="E43" s="14"/>
      <c r="F43" s="30"/>
      <c r="G43" s="16"/>
      <c r="H43" s="17"/>
      <c r="I43" s="30"/>
      <c r="J43" s="27"/>
      <c r="K43" s="17"/>
      <c r="L43" s="17"/>
      <c r="M43" s="16" t="str">
        <f t="shared" si="10"/>
        <v>A05 - ACU</v>
      </c>
    </row>
    <row r="44" ht="22.5" customHeight="1">
      <c r="A44" s="12"/>
      <c r="B44" s="12"/>
      <c r="C44" s="30" t="str">
        <f t="shared" si="9"/>
        <v>Low Voltage</v>
      </c>
      <c r="D44" s="14"/>
      <c r="E44" s="14"/>
      <c r="F44" s="30"/>
      <c r="G44" s="16"/>
      <c r="H44" s="17"/>
      <c r="I44" s="30"/>
      <c r="J44" s="27"/>
      <c r="K44" s="17"/>
      <c r="L44" s="17"/>
      <c r="M44" s="16" t="str">
        <f t="shared" si="10"/>
        <v>A05 - ACU</v>
      </c>
    </row>
    <row r="45" ht="22.5" customHeight="1">
      <c r="A45" s="12"/>
      <c r="B45" s="12"/>
      <c r="C45" s="30" t="str">
        <f t="shared" si="9"/>
        <v>Low Voltage</v>
      </c>
      <c r="D45" s="14"/>
      <c r="E45" s="14"/>
      <c r="F45" s="30"/>
      <c r="G45" s="16"/>
      <c r="H45" s="17"/>
      <c r="I45" s="30"/>
      <c r="J45" s="27"/>
      <c r="K45" s="17"/>
      <c r="L45" s="17"/>
      <c r="M45" s="16" t="str">
        <f t="shared" si="10"/>
        <v>A05 - ACU</v>
      </c>
    </row>
    <row r="46" ht="22.5" customHeight="1">
      <c r="A46" s="12"/>
      <c r="B46" s="12"/>
      <c r="C46" s="30" t="str">
        <f t="shared" si="9"/>
        <v>Low Voltage</v>
      </c>
      <c r="D46" s="14"/>
      <c r="E46" s="14"/>
      <c r="F46" s="30"/>
      <c r="G46" s="16"/>
      <c r="H46" s="17"/>
      <c r="I46" s="30"/>
      <c r="J46" s="27"/>
      <c r="K46" s="17"/>
      <c r="L46" s="17"/>
      <c r="M46" s="16" t="str">
        <f t="shared" si="10"/>
        <v>A05 - ACU</v>
      </c>
    </row>
    <row r="47" ht="1.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</row>
    <row r="48">
      <c r="A48" s="26"/>
    </row>
    <row r="49">
      <c r="A49" s="26"/>
      <c r="B49" s="26"/>
    </row>
    <row r="50" ht="22.5" customHeight="1">
      <c r="A50" s="4" t="s">
        <v>58</v>
      </c>
      <c r="B50" s="4" t="s">
        <v>67</v>
      </c>
      <c r="C50" s="4" t="s">
        <v>0</v>
      </c>
      <c r="D50" s="4" t="s">
        <v>68</v>
      </c>
      <c r="E50" s="4" t="s">
        <v>69</v>
      </c>
      <c r="F50" s="4" t="s">
        <v>60</v>
      </c>
      <c r="G50" s="4" t="s">
        <v>7</v>
      </c>
      <c r="H50" s="4" t="s">
        <v>204</v>
      </c>
      <c r="I50" s="4" t="s">
        <v>72</v>
      </c>
      <c r="J50" s="4" t="s">
        <v>70</v>
      </c>
      <c r="K50" s="4" t="s">
        <v>206</v>
      </c>
      <c r="L50" s="4" t="s">
        <v>62</v>
      </c>
      <c r="M50" s="4" t="s">
        <v>207</v>
      </c>
    </row>
    <row r="51" ht="22.5" customHeight="1">
      <c r="A51" s="12" t="s">
        <v>279</v>
      </c>
      <c r="B51" s="12" t="s">
        <v>280</v>
      </c>
      <c r="C51" s="13" t="s">
        <v>93</v>
      </c>
      <c r="D51" s="14"/>
      <c r="E51" s="14"/>
      <c r="F51" s="13" t="s">
        <v>75</v>
      </c>
      <c r="G51" s="16"/>
      <c r="H51" s="28" t="s">
        <v>885</v>
      </c>
      <c r="I51" s="30"/>
      <c r="J51" s="27"/>
      <c r="K51" s="17"/>
      <c r="L51" s="17"/>
      <c r="M51" s="16" t="str">
        <f t="shared" ref="M51:M55" si="11">"A06 - Shutdown"</f>
        <v>A06 - Shutdown</v>
      </c>
    </row>
    <row r="52" ht="22.5" customHeight="1">
      <c r="A52" s="12"/>
      <c r="B52" s="12"/>
      <c r="C52" s="30" t="str">
        <f t="shared" ref="C52:C55" si="12">"Low Voltage"</f>
        <v>Low Voltage</v>
      </c>
      <c r="D52" s="14"/>
      <c r="E52" s="14"/>
      <c r="F52" s="30"/>
      <c r="G52" s="16"/>
      <c r="H52" s="17"/>
      <c r="I52" s="30"/>
      <c r="J52" s="27"/>
      <c r="K52" s="17"/>
      <c r="L52" s="17"/>
      <c r="M52" s="16" t="str">
        <f t="shared" si="11"/>
        <v>A06 - Shutdown</v>
      </c>
    </row>
    <row r="53" ht="22.5" customHeight="1">
      <c r="A53" s="12"/>
      <c r="B53" s="12"/>
      <c r="C53" s="30" t="str">
        <f t="shared" si="12"/>
        <v>Low Voltage</v>
      </c>
      <c r="D53" s="14"/>
      <c r="E53" s="14"/>
      <c r="F53" s="30"/>
      <c r="G53" s="16"/>
      <c r="H53" s="17"/>
      <c r="I53" s="30"/>
      <c r="J53" s="27"/>
      <c r="K53" s="17"/>
      <c r="L53" s="17"/>
      <c r="M53" s="16" t="str">
        <f t="shared" si="11"/>
        <v>A06 - Shutdown</v>
      </c>
    </row>
    <row r="54" ht="22.5" customHeight="1">
      <c r="A54" s="12"/>
      <c r="B54" s="12"/>
      <c r="C54" s="30" t="str">
        <f t="shared" si="12"/>
        <v>Low Voltage</v>
      </c>
      <c r="D54" s="14"/>
      <c r="E54" s="14"/>
      <c r="F54" s="30"/>
      <c r="G54" s="16"/>
      <c r="H54" s="17"/>
      <c r="I54" s="30"/>
      <c r="J54" s="27"/>
      <c r="K54" s="17"/>
      <c r="L54" s="17"/>
      <c r="M54" s="16" t="str">
        <f t="shared" si="11"/>
        <v>A06 - Shutdown</v>
      </c>
    </row>
    <row r="55" ht="22.5" customHeight="1">
      <c r="A55" s="12"/>
      <c r="B55" s="12"/>
      <c r="C55" s="30" t="str">
        <f t="shared" si="12"/>
        <v>Low Voltage</v>
      </c>
      <c r="D55" s="14"/>
      <c r="E55" s="14"/>
      <c r="F55" s="30"/>
      <c r="G55" s="16"/>
      <c r="H55" s="17"/>
      <c r="I55" s="30"/>
      <c r="J55" s="27"/>
      <c r="K55" s="17"/>
      <c r="L55" s="17"/>
      <c r="M55" s="16" t="str">
        <f t="shared" si="11"/>
        <v>A06 - Shutdown</v>
      </c>
    </row>
    <row r="56" ht="1.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>
      <c r="A57" s="26"/>
    </row>
    <row r="58">
      <c r="A58" s="26"/>
      <c r="B58" s="26"/>
    </row>
    <row r="59" ht="22.5" customHeight="1">
      <c r="A59" s="4" t="s">
        <v>58</v>
      </c>
      <c r="B59" s="4" t="s">
        <v>67</v>
      </c>
      <c r="C59" s="4" t="s">
        <v>0</v>
      </c>
      <c r="D59" s="4" t="s">
        <v>68</v>
      </c>
      <c r="E59" s="4" t="s">
        <v>69</v>
      </c>
      <c r="F59" s="4" t="s">
        <v>60</v>
      </c>
      <c r="G59" s="4" t="s">
        <v>7</v>
      </c>
      <c r="H59" s="4" t="s">
        <v>204</v>
      </c>
      <c r="I59" s="4" t="s">
        <v>72</v>
      </c>
      <c r="J59" s="4" t="s">
        <v>70</v>
      </c>
      <c r="K59" s="4" t="s">
        <v>206</v>
      </c>
      <c r="L59" s="4" t="s">
        <v>62</v>
      </c>
      <c r="M59" s="4" t="s">
        <v>207</v>
      </c>
    </row>
    <row r="60" ht="22.5" customHeight="1">
      <c r="A60" s="12" t="s">
        <v>281</v>
      </c>
      <c r="B60" s="12" t="s">
        <v>282</v>
      </c>
      <c r="C60" s="13" t="s">
        <v>93</v>
      </c>
      <c r="D60" s="14"/>
      <c r="E60" s="14"/>
      <c r="F60" s="13" t="s">
        <v>75</v>
      </c>
      <c r="G60" s="16"/>
      <c r="H60" s="28" t="s">
        <v>887</v>
      </c>
      <c r="I60" s="30"/>
      <c r="J60" s="27"/>
      <c r="K60" s="17"/>
      <c r="L60" s="17"/>
      <c r="M60" s="16" t="str">
        <f t="shared" ref="M60:M64" si="13">"A07 - Discharge"</f>
        <v>A07 - Discharge</v>
      </c>
    </row>
    <row r="61" ht="22.5" customHeight="1">
      <c r="A61" s="12"/>
      <c r="B61" s="12"/>
      <c r="C61" s="30" t="str">
        <f t="shared" ref="C61:C64" si="14">"Low Voltage"</f>
        <v>Low Voltage</v>
      </c>
      <c r="D61" s="14"/>
      <c r="E61" s="14"/>
      <c r="F61" s="30"/>
      <c r="G61" s="16"/>
      <c r="H61" s="17"/>
      <c r="I61" s="30"/>
      <c r="J61" s="27"/>
      <c r="K61" s="17"/>
      <c r="L61" s="17"/>
      <c r="M61" s="16" t="str">
        <f t="shared" si="13"/>
        <v>A07 - Discharge</v>
      </c>
    </row>
    <row r="62" ht="22.5" customHeight="1">
      <c r="A62" s="12"/>
      <c r="B62" s="12"/>
      <c r="C62" s="30" t="str">
        <f t="shared" si="14"/>
        <v>Low Voltage</v>
      </c>
      <c r="D62" s="14"/>
      <c r="E62" s="14"/>
      <c r="F62" s="30"/>
      <c r="G62" s="16"/>
      <c r="H62" s="17"/>
      <c r="I62" s="30"/>
      <c r="J62" s="27"/>
      <c r="K62" s="17"/>
      <c r="L62" s="17"/>
      <c r="M62" s="16" t="str">
        <f t="shared" si="13"/>
        <v>A07 - Discharge</v>
      </c>
    </row>
    <row r="63" ht="22.5" customHeight="1">
      <c r="A63" s="12"/>
      <c r="B63" s="12"/>
      <c r="C63" s="30" t="str">
        <f t="shared" si="14"/>
        <v>Low Voltage</v>
      </c>
      <c r="D63" s="14"/>
      <c r="E63" s="14"/>
      <c r="F63" s="30"/>
      <c r="G63" s="16"/>
      <c r="H63" s="17"/>
      <c r="I63" s="30"/>
      <c r="J63" s="27"/>
      <c r="K63" s="17"/>
      <c r="L63" s="17"/>
      <c r="M63" s="16" t="str">
        <f t="shared" si="13"/>
        <v>A07 - Discharge</v>
      </c>
    </row>
    <row r="64" ht="22.5" customHeight="1">
      <c r="A64" s="12"/>
      <c r="B64" s="12"/>
      <c r="C64" s="30" t="str">
        <f t="shared" si="14"/>
        <v>Low Voltage</v>
      </c>
      <c r="D64" s="14"/>
      <c r="E64" s="14"/>
      <c r="F64" s="30"/>
      <c r="G64" s="16"/>
      <c r="H64" s="17"/>
      <c r="I64" s="30"/>
      <c r="J64" s="27"/>
      <c r="K64" s="17"/>
      <c r="L64" s="17"/>
      <c r="M64" s="16" t="str">
        <f t="shared" si="13"/>
        <v>A07 - Discharge</v>
      </c>
    </row>
    <row r="65" ht="1.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</row>
    <row r="66">
      <c r="A66" s="26"/>
    </row>
    <row r="67">
      <c r="A67" s="26"/>
      <c r="B67" s="26"/>
    </row>
    <row r="68" ht="22.5" customHeight="1">
      <c r="A68" s="4" t="s">
        <v>58</v>
      </c>
      <c r="B68" s="4" t="s">
        <v>67</v>
      </c>
      <c r="C68" s="4" t="s">
        <v>0</v>
      </c>
      <c r="D68" s="4" t="s">
        <v>68</v>
      </c>
      <c r="E68" s="4" t="s">
        <v>69</v>
      </c>
      <c r="F68" s="4" t="s">
        <v>60</v>
      </c>
      <c r="G68" s="4" t="s">
        <v>7</v>
      </c>
      <c r="H68" s="4" t="s">
        <v>204</v>
      </c>
      <c r="I68" s="4" t="s">
        <v>72</v>
      </c>
      <c r="J68" s="4" t="s">
        <v>70</v>
      </c>
      <c r="K68" s="4" t="s">
        <v>206</v>
      </c>
      <c r="L68" s="4" t="s">
        <v>62</v>
      </c>
      <c r="M68" s="4" t="s">
        <v>207</v>
      </c>
    </row>
    <row r="69" ht="22.5" customHeight="1">
      <c r="A69" s="12" t="s">
        <v>283</v>
      </c>
      <c r="B69" s="12" t="s">
        <v>284</v>
      </c>
      <c r="C69" s="13" t="s">
        <v>93</v>
      </c>
      <c r="D69" s="15">
        <v>46243.0</v>
      </c>
      <c r="E69" s="15">
        <v>46272.0</v>
      </c>
      <c r="F69" s="13" t="s">
        <v>75</v>
      </c>
      <c r="G69" s="16"/>
      <c r="H69" s="17"/>
      <c r="I69" s="30"/>
      <c r="J69" s="27"/>
      <c r="K69" s="17"/>
      <c r="L69" s="17"/>
      <c r="M69" s="16" t="str">
        <f t="shared" ref="M69:M73" si="15">"A08 - PDU"</f>
        <v>A08 - PDU</v>
      </c>
    </row>
    <row r="70" ht="22.5" customHeight="1">
      <c r="A70" s="12" t="s">
        <v>285</v>
      </c>
      <c r="B70" s="12" t="s">
        <v>286</v>
      </c>
      <c r="C70" s="13" t="s">
        <v>93</v>
      </c>
      <c r="D70" s="14"/>
      <c r="E70" s="14"/>
      <c r="F70" s="13" t="s">
        <v>80</v>
      </c>
      <c r="G70" s="16"/>
      <c r="H70" s="28" t="s">
        <v>889</v>
      </c>
      <c r="I70" s="30"/>
      <c r="J70" s="27"/>
      <c r="K70" s="12" t="s">
        <v>890</v>
      </c>
      <c r="L70" s="12" t="s">
        <v>891</v>
      </c>
      <c r="M70" s="16" t="str">
        <f t="shared" si="15"/>
        <v>A08 - PDU</v>
      </c>
    </row>
    <row r="71" ht="22.5" customHeight="1">
      <c r="A71" s="12" t="s">
        <v>287</v>
      </c>
      <c r="B71" s="12" t="s">
        <v>288</v>
      </c>
      <c r="C71" s="13" t="s">
        <v>93</v>
      </c>
      <c r="D71" s="15">
        <v>46239.0</v>
      </c>
      <c r="E71" s="15">
        <v>46270.0</v>
      </c>
      <c r="F71" s="13" t="s">
        <v>75</v>
      </c>
      <c r="G71" s="16"/>
      <c r="H71" s="28" t="s">
        <v>892</v>
      </c>
      <c r="I71" s="13" t="s">
        <v>81</v>
      </c>
      <c r="J71" s="27"/>
      <c r="K71" s="12" t="s">
        <v>873</v>
      </c>
      <c r="L71" s="12" t="s">
        <v>893</v>
      </c>
      <c r="M71" s="16" t="str">
        <f t="shared" si="15"/>
        <v>A08 - PDU</v>
      </c>
    </row>
    <row r="72" ht="22.5" customHeight="1">
      <c r="A72" s="12"/>
      <c r="B72" s="12"/>
      <c r="C72" s="30" t="str">
        <f t="shared" ref="C72:C73" si="16">"Low Voltage"</f>
        <v>Low Voltage</v>
      </c>
      <c r="D72" s="14"/>
      <c r="E72" s="14"/>
      <c r="F72" s="30"/>
      <c r="G72" s="16"/>
      <c r="H72" s="17"/>
      <c r="I72" s="30"/>
      <c r="J72" s="27"/>
      <c r="K72" s="17"/>
      <c r="L72" s="17"/>
      <c r="M72" s="16" t="str">
        <f t="shared" si="15"/>
        <v>A08 - PDU</v>
      </c>
    </row>
    <row r="73" ht="22.5" customHeight="1">
      <c r="A73" s="12"/>
      <c r="B73" s="12"/>
      <c r="C73" s="30" t="str">
        <f t="shared" si="16"/>
        <v>Low Voltage</v>
      </c>
      <c r="D73" s="14"/>
      <c r="E73" s="14"/>
      <c r="F73" s="30"/>
      <c r="G73" s="16"/>
      <c r="H73" s="17"/>
      <c r="I73" s="30"/>
      <c r="J73" s="27"/>
      <c r="K73" s="17"/>
      <c r="L73" s="17"/>
      <c r="M73" s="16" t="str">
        <f t="shared" si="15"/>
        <v>A08 - PDU</v>
      </c>
    </row>
    <row r="74" ht="1.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</row>
    <row r="75">
      <c r="A75" s="26"/>
    </row>
    <row r="76">
      <c r="A76" s="26"/>
      <c r="B76" s="26"/>
    </row>
    <row r="77" ht="22.5" customHeight="1">
      <c r="A77" s="4" t="s">
        <v>58</v>
      </c>
      <c r="B77" s="4" t="s">
        <v>67</v>
      </c>
      <c r="C77" s="4" t="s">
        <v>0</v>
      </c>
      <c r="D77" s="4" t="s">
        <v>68</v>
      </c>
      <c r="E77" s="4" t="s">
        <v>69</v>
      </c>
      <c r="F77" s="4" t="s">
        <v>60</v>
      </c>
      <c r="G77" s="4" t="s">
        <v>7</v>
      </c>
      <c r="H77" s="4" t="s">
        <v>204</v>
      </c>
      <c r="I77" s="4" t="s">
        <v>72</v>
      </c>
      <c r="J77" s="4" t="s">
        <v>70</v>
      </c>
      <c r="K77" s="4" t="s">
        <v>206</v>
      </c>
      <c r="L77" s="4" t="s">
        <v>62</v>
      </c>
      <c r="M77" s="4" t="s">
        <v>207</v>
      </c>
    </row>
    <row r="78" ht="22.5" customHeight="1">
      <c r="A78" s="12" t="s">
        <v>290</v>
      </c>
      <c r="B78" s="12" t="s">
        <v>291</v>
      </c>
      <c r="C78" s="13" t="s">
        <v>93</v>
      </c>
      <c r="D78" s="14"/>
      <c r="E78" s="14"/>
      <c r="F78" s="13" t="s">
        <v>75</v>
      </c>
      <c r="G78" s="16"/>
      <c r="H78" s="28" t="s">
        <v>896</v>
      </c>
      <c r="I78" s="30"/>
      <c r="J78" s="27"/>
      <c r="K78" s="17"/>
      <c r="L78" s="17"/>
      <c r="M78" s="16" t="str">
        <f t="shared" ref="M78:M86" si="17">"A09 - Dash"</f>
        <v>A09 - Dash</v>
      </c>
    </row>
    <row r="79" ht="22.5" customHeight="1">
      <c r="A79" s="12" t="s">
        <v>292</v>
      </c>
      <c r="B79" s="12" t="s">
        <v>293</v>
      </c>
      <c r="C79" s="13" t="s">
        <v>93</v>
      </c>
      <c r="D79" s="14"/>
      <c r="E79" s="14"/>
      <c r="F79" s="13" t="s">
        <v>294</v>
      </c>
      <c r="G79" s="16"/>
      <c r="H79" s="28" t="s">
        <v>898</v>
      </c>
      <c r="I79" s="13" t="s">
        <v>86</v>
      </c>
      <c r="J79" s="27"/>
      <c r="K79" s="12" t="s">
        <v>873</v>
      </c>
      <c r="L79" s="17"/>
      <c r="M79" s="16" t="str">
        <f t="shared" si="17"/>
        <v>A09 - Dash</v>
      </c>
    </row>
    <row r="80" ht="22.5" customHeight="1">
      <c r="A80" s="12" t="s">
        <v>295</v>
      </c>
      <c r="B80" s="12" t="s">
        <v>296</v>
      </c>
      <c r="C80" s="13" t="s">
        <v>93</v>
      </c>
      <c r="D80" s="14"/>
      <c r="E80" s="14"/>
      <c r="F80" s="13" t="s">
        <v>75</v>
      </c>
      <c r="G80" s="16"/>
      <c r="H80" s="28" t="s">
        <v>898</v>
      </c>
      <c r="I80" s="13" t="s">
        <v>86</v>
      </c>
      <c r="J80" s="27"/>
      <c r="K80" s="12" t="s">
        <v>902</v>
      </c>
      <c r="L80" s="17"/>
      <c r="M80" s="16" t="str">
        <f t="shared" si="17"/>
        <v>A09 - Dash</v>
      </c>
    </row>
    <row r="81" ht="22.5" customHeight="1">
      <c r="A81" s="12" t="s">
        <v>297</v>
      </c>
      <c r="B81" s="12" t="s">
        <v>298</v>
      </c>
      <c r="C81" s="13" t="s">
        <v>93</v>
      </c>
      <c r="D81" s="14"/>
      <c r="E81" s="14"/>
      <c r="F81" s="13" t="s">
        <v>75</v>
      </c>
      <c r="G81" s="16"/>
      <c r="H81" s="28" t="s">
        <v>898</v>
      </c>
      <c r="I81" s="13" t="s">
        <v>86</v>
      </c>
      <c r="J81" s="27"/>
      <c r="K81" s="12" t="s">
        <v>904</v>
      </c>
      <c r="L81" s="17"/>
      <c r="M81" s="16" t="str">
        <f t="shared" si="17"/>
        <v>A09 - Dash</v>
      </c>
    </row>
    <row r="82" ht="22.5" customHeight="1">
      <c r="A82" s="12" t="s">
        <v>299</v>
      </c>
      <c r="B82" s="12" t="s">
        <v>300</v>
      </c>
      <c r="C82" s="13" t="s">
        <v>93</v>
      </c>
      <c r="D82" s="14"/>
      <c r="E82" s="14"/>
      <c r="F82" s="13" t="s">
        <v>75</v>
      </c>
      <c r="G82" s="16"/>
      <c r="H82" s="28" t="s">
        <v>898</v>
      </c>
      <c r="I82" s="13" t="s">
        <v>86</v>
      </c>
      <c r="J82" s="27"/>
      <c r="K82" s="12" t="s">
        <v>906</v>
      </c>
      <c r="L82" s="17"/>
      <c r="M82" s="16" t="str">
        <f t="shared" si="17"/>
        <v>A09 - Dash</v>
      </c>
    </row>
    <row r="83" ht="22.5" customHeight="1">
      <c r="A83" s="12" t="s">
        <v>301</v>
      </c>
      <c r="B83" s="12" t="s">
        <v>302</v>
      </c>
      <c r="C83" s="13" t="s">
        <v>93</v>
      </c>
      <c r="D83" s="14"/>
      <c r="E83" s="14"/>
      <c r="F83" s="13" t="s">
        <v>75</v>
      </c>
      <c r="G83" s="16"/>
      <c r="H83" s="28" t="s">
        <v>898</v>
      </c>
      <c r="I83" s="13" t="s">
        <v>86</v>
      </c>
      <c r="J83" s="27"/>
      <c r="K83" s="12" t="s">
        <v>909</v>
      </c>
      <c r="L83" s="17"/>
      <c r="M83" s="16" t="str">
        <f t="shared" si="17"/>
        <v>A09 - Dash</v>
      </c>
    </row>
    <row r="84" ht="22.5" customHeight="1">
      <c r="A84" s="12" t="s">
        <v>303</v>
      </c>
      <c r="B84" s="12" t="s">
        <v>304</v>
      </c>
      <c r="C84" s="13" t="s">
        <v>93</v>
      </c>
      <c r="D84" s="14"/>
      <c r="E84" s="14"/>
      <c r="F84" s="13" t="s">
        <v>75</v>
      </c>
      <c r="G84" s="16"/>
      <c r="H84" s="28" t="s">
        <v>898</v>
      </c>
      <c r="I84" s="13" t="s">
        <v>86</v>
      </c>
      <c r="J84" s="27"/>
      <c r="K84" s="12" t="s">
        <v>910</v>
      </c>
      <c r="L84" s="17"/>
      <c r="M84" s="16" t="str">
        <f t="shared" si="17"/>
        <v>A09 - Dash</v>
      </c>
    </row>
    <row r="85" ht="22.5" customHeight="1">
      <c r="A85" s="12"/>
      <c r="B85" s="12"/>
      <c r="C85" s="30" t="str">
        <f t="shared" ref="C85:C86" si="18">"Low Voltage"</f>
        <v>Low Voltage</v>
      </c>
      <c r="D85" s="14"/>
      <c r="E85" s="14"/>
      <c r="F85" s="30"/>
      <c r="G85" s="16"/>
      <c r="H85" s="17"/>
      <c r="I85" s="30"/>
      <c r="J85" s="27"/>
      <c r="K85" s="17"/>
      <c r="L85" s="17"/>
      <c r="M85" s="16" t="str">
        <f t="shared" si="17"/>
        <v>A09 - Dash</v>
      </c>
    </row>
    <row r="86" ht="22.5" customHeight="1">
      <c r="A86" s="12"/>
      <c r="B86" s="12"/>
      <c r="C86" s="30" t="str">
        <f t="shared" si="18"/>
        <v>Low Voltage</v>
      </c>
      <c r="D86" s="14"/>
      <c r="E86" s="14"/>
      <c r="F86" s="30"/>
      <c r="G86" s="16"/>
      <c r="H86" s="17"/>
      <c r="I86" s="30"/>
      <c r="J86" s="27"/>
      <c r="K86" s="17"/>
      <c r="L86" s="17"/>
      <c r="M86" s="16" t="str">
        <f t="shared" si="17"/>
        <v>A09 - Dash</v>
      </c>
    </row>
    <row r="87" ht="1.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</row>
    <row r="88">
      <c r="A88" s="26"/>
    </row>
    <row r="89">
      <c r="A89" s="26"/>
      <c r="B89" s="26"/>
    </row>
    <row r="90" ht="22.5" customHeight="1">
      <c r="A90" s="4" t="s">
        <v>58</v>
      </c>
      <c r="B90" s="4" t="s">
        <v>67</v>
      </c>
      <c r="C90" s="4" t="s">
        <v>0</v>
      </c>
      <c r="D90" s="4" t="s">
        <v>68</v>
      </c>
      <c r="E90" s="4" t="s">
        <v>69</v>
      </c>
      <c r="F90" s="4" t="s">
        <v>60</v>
      </c>
      <c r="G90" s="4" t="s">
        <v>7</v>
      </c>
      <c r="H90" s="4" t="s">
        <v>204</v>
      </c>
      <c r="I90" s="4" t="s">
        <v>72</v>
      </c>
      <c r="J90" s="4" t="s">
        <v>70</v>
      </c>
      <c r="K90" s="4" t="s">
        <v>206</v>
      </c>
      <c r="L90" s="4" t="s">
        <v>62</v>
      </c>
      <c r="M90" s="4" t="s">
        <v>207</v>
      </c>
    </row>
    <row r="91" ht="22.5" customHeight="1">
      <c r="A91" s="12"/>
      <c r="B91" s="12"/>
      <c r="C91" s="30" t="str">
        <f t="shared" ref="C91:C95" si="19">"Low Voltage"</f>
        <v>Low Voltage</v>
      </c>
      <c r="D91" s="14"/>
      <c r="E91" s="14"/>
      <c r="F91" s="30"/>
      <c r="G91" s="16"/>
      <c r="H91" s="17"/>
      <c r="I91" s="30"/>
      <c r="J91" s="27"/>
      <c r="K91" s="17"/>
      <c r="L91" s="17"/>
      <c r="M91" s="16" t="str">
        <f t="shared" ref="M91:M95" si="20">"A10 - Other Low Voltage"</f>
        <v>A10 - Other Low Voltage</v>
      </c>
    </row>
    <row r="92" ht="22.5" customHeight="1">
      <c r="A92" s="12"/>
      <c r="B92" s="12"/>
      <c r="C92" s="30" t="str">
        <f t="shared" si="19"/>
        <v>Low Voltage</v>
      </c>
      <c r="D92" s="14"/>
      <c r="E92" s="14"/>
      <c r="F92" s="30"/>
      <c r="G92" s="16"/>
      <c r="H92" s="17"/>
      <c r="I92" s="30"/>
      <c r="J92" s="27"/>
      <c r="K92" s="17"/>
      <c r="L92" s="17"/>
      <c r="M92" s="16" t="str">
        <f t="shared" si="20"/>
        <v>A10 - Other Low Voltage</v>
      </c>
    </row>
    <row r="93" ht="22.5" customHeight="1">
      <c r="A93" s="12"/>
      <c r="B93" s="12"/>
      <c r="C93" s="30" t="str">
        <f t="shared" si="19"/>
        <v>Low Voltage</v>
      </c>
      <c r="D93" s="14"/>
      <c r="E93" s="14"/>
      <c r="F93" s="30"/>
      <c r="G93" s="16"/>
      <c r="H93" s="17"/>
      <c r="I93" s="30"/>
      <c r="J93" s="27"/>
      <c r="K93" s="17"/>
      <c r="L93" s="17"/>
      <c r="M93" s="16" t="str">
        <f t="shared" si="20"/>
        <v>A10 - Other Low Voltage</v>
      </c>
    </row>
    <row r="94" ht="22.5" customHeight="1">
      <c r="A94" s="12"/>
      <c r="B94" s="12"/>
      <c r="C94" s="30" t="str">
        <f t="shared" si="19"/>
        <v>Low Voltage</v>
      </c>
      <c r="D94" s="14"/>
      <c r="E94" s="14"/>
      <c r="F94" s="30"/>
      <c r="G94" s="16"/>
      <c r="H94" s="17"/>
      <c r="I94" s="30"/>
      <c r="J94" s="27"/>
      <c r="K94" s="17"/>
      <c r="L94" s="17"/>
      <c r="M94" s="16" t="str">
        <f t="shared" si="20"/>
        <v>A10 - Other Low Voltage</v>
      </c>
    </row>
    <row r="95" ht="22.5" customHeight="1">
      <c r="A95" s="12"/>
      <c r="B95" s="12"/>
      <c r="C95" s="30" t="str">
        <f t="shared" si="19"/>
        <v>Low Voltage</v>
      </c>
      <c r="D95" s="14"/>
      <c r="E95" s="14"/>
      <c r="F95" s="30"/>
      <c r="G95" s="16"/>
      <c r="H95" s="17"/>
      <c r="I95" s="30"/>
      <c r="J95" s="27"/>
      <c r="K95" s="17"/>
      <c r="L95" s="17"/>
      <c r="M95" s="16" t="str">
        <f t="shared" si="20"/>
        <v>A10 - Other Low Voltage</v>
      </c>
    </row>
    <row r="96" ht="1.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</row>
    <row r="97">
      <c r="A97" s="26"/>
    </row>
  </sheetData>
  <mergeCells count="20">
    <mergeCell ref="B1:M1"/>
    <mergeCell ref="A9:M9"/>
    <mergeCell ref="B10:M10"/>
    <mergeCell ref="A18:M18"/>
    <mergeCell ref="B19:M19"/>
    <mergeCell ref="A27:M27"/>
    <mergeCell ref="B28:M28"/>
    <mergeCell ref="B67:M67"/>
    <mergeCell ref="A75:M75"/>
    <mergeCell ref="B76:M76"/>
    <mergeCell ref="A88:M88"/>
    <mergeCell ref="B89:M89"/>
    <mergeCell ref="A97:M97"/>
    <mergeCell ref="A39:M39"/>
    <mergeCell ref="B40:M40"/>
    <mergeCell ref="A48:M48"/>
    <mergeCell ref="B49:M49"/>
    <mergeCell ref="A57:M57"/>
    <mergeCell ref="B58:M58"/>
    <mergeCell ref="A66:M66"/>
  </mergeCells>
  <dataValidations>
    <dataValidation type="list" allowBlank="1" sqref="J3:J7 J12:J16 J21:J25 J30:J37 J42:J46 J51:J55 J60:J64 J69:J73 J78:J86 J91:J95">
      <formula1>#REF!</formula1>
    </dataValidation>
    <dataValidation type="list" allowBlank="1" sqref="F3:F7 F12:F16 F21:F25 F30:F37 F42:F46 F51:F55 F60:F64 F69:F73 F78:F86 F91:F95">
      <formula1>#REF!</formula1>
    </dataValidation>
    <dataValidation type="custom" allowBlank="1" showDropDown="1" sqref="D3:E7 D12:E16 D21:E25 D30:E37 D42:E46 D51:E55 D60:E64 D69:E73 D78:E86 D91:E95">
      <formula1>OR(NOT(ISERROR(DATEVALUE(D3))), AND(ISNUMBER(D3), LEFT(CELL("format", D3))="D"))</formula1>
    </dataValidation>
    <dataValidation type="list" allowBlank="1" sqref="I3:I7 I12:I16 I21:I25 I30:I37 I42:I46 I51:I55 I60:I64 I69:I73 I78:I86 I91:I95">
      <formula1>#REF!</formula1>
    </dataValidation>
    <dataValidation allowBlank="1" showDropDown="1" sqref="B3:B7 K3:L7 B12:B16 K12:L16 B21:B25 K21:L25 B30:B37 K30:L37 B42:B46 K42:L46 B51:B55 K51:L55 B60:B64 K60:L64 B69:B73 K69:L73 B78:B86 K78:L86 B91:B95 K91:L95"/>
    <dataValidation allowBlank="1" showDropDown="1" sqref="A3:A7 A12:A16 A21:A25 A30:A37 A42:A46 A51:A55 A60:A64 A69:A73 A78:A86 A91:A95"/>
    <dataValidation type="list" allowBlank="1" sqref="G3:G7 M3:M7 G12:G16 M12:M16 G21:G25 M21:M25 G30:G37 M30:M37 G42:G46 M42:M46 G51:G55 M51:M55 G60:G64 M60:M64 G69:G73 M69:M73 G78:G86 M78:M86 G91:G95 M91:M95">
      <formula1>#REF!</formula1>
    </dataValidation>
    <dataValidation type="list" allowBlank="1" sqref="C3:C7 C12:C16 C21:C25 C30:C37 C42:C46 C51:C55 C60:C64 C69:C73 C78:C86 C91:C95">
      <formula1>#REF!</formula1>
    </dataValidation>
  </dataValidations>
  <hyperlinks>
    <hyperlink r:id="rId1" ref="H3"/>
    <hyperlink r:id="rId2" ref="H30"/>
    <hyperlink r:id="rId3" ref="H31"/>
    <hyperlink r:id="rId4" ref="H32"/>
    <hyperlink r:id="rId5" ref="H33"/>
    <hyperlink r:id="rId6" ref="H34"/>
    <hyperlink r:id="rId7" ref="H35"/>
    <hyperlink r:id="rId8" ref="H51"/>
    <hyperlink r:id="rId9" ref="H60"/>
    <hyperlink r:id="rId10" ref="H70"/>
    <hyperlink r:id="rId11" ref="H71"/>
    <hyperlink r:id="rId12" ref="H78"/>
    <hyperlink r:id="rId13" ref="H79"/>
    <hyperlink r:id="rId14" ref="H80"/>
    <hyperlink r:id="rId15" ref="H81"/>
    <hyperlink r:id="rId16" ref="H82"/>
    <hyperlink r:id="rId17" ref="H83"/>
    <hyperlink r:id="rId18" ref="H84"/>
  </hyperlinks>
  <drawing r:id="rId19"/>
  <tableParts count="10"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7.0"/>
    <col customWidth="1" hidden="1" min="3" max="3" width="16.38"/>
    <col customWidth="1" min="4" max="5" width="13.88"/>
    <col customWidth="1" min="6" max="6" width="14.38"/>
    <col customWidth="1" min="7" max="7" width="17.0"/>
    <col customWidth="1" min="8" max="8" width="17.63"/>
    <col customWidth="1" min="9" max="9" width="14.0"/>
    <col customWidth="1" min="10" max="10" width="19.5"/>
    <col customWidth="1" min="11" max="12" width="25.13"/>
    <col customWidth="1" hidden="1" min="13" max="13" width="25.13"/>
  </cols>
  <sheetData>
    <row r="1">
      <c r="A1" s="26"/>
      <c r="B1" s="26"/>
    </row>
    <row r="2" ht="22.5" customHeight="1">
      <c r="A2" s="41" t="s">
        <v>58</v>
      </c>
      <c r="B2" s="41" t="s">
        <v>67</v>
      </c>
      <c r="C2" s="41" t="s">
        <v>0</v>
      </c>
      <c r="D2" s="41" t="s">
        <v>68</v>
      </c>
      <c r="E2" s="41" t="s">
        <v>69</v>
      </c>
      <c r="F2" s="41" t="s">
        <v>60</v>
      </c>
      <c r="G2" s="41" t="s">
        <v>7</v>
      </c>
      <c r="H2" s="41" t="s">
        <v>204</v>
      </c>
      <c r="I2" s="41" t="s">
        <v>72</v>
      </c>
      <c r="J2" s="41" t="s">
        <v>70</v>
      </c>
      <c r="K2" s="41" t="s">
        <v>206</v>
      </c>
      <c r="L2" s="41" t="s">
        <v>62</v>
      </c>
      <c r="M2" s="41" t="s">
        <v>207</v>
      </c>
    </row>
    <row r="3" ht="22.5" customHeight="1">
      <c r="A3" s="12"/>
      <c r="B3" s="42"/>
      <c r="C3" s="30" t="str">
        <f t="shared" ref="C3:C7" si="1">"Cooling"</f>
        <v>Cooling</v>
      </c>
      <c r="D3" s="14"/>
      <c r="E3" s="14"/>
      <c r="F3" s="30"/>
      <c r="G3" s="16"/>
      <c r="H3" s="17"/>
      <c r="I3" s="30"/>
      <c r="J3" s="27"/>
      <c r="K3" s="17"/>
      <c r="L3" s="17"/>
      <c r="M3" s="16" t="str">
        <f t="shared" ref="M3:M7" si="2">"A01 - Cooling"</f>
        <v>A01 - Cooling</v>
      </c>
    </row>
    <row r="4" ht="22.5" customHeight="1">
      <c r="A4" s="12"/>
      <c r="B4" s="42"/>
      <c r="C4" s="30" t="str">
        <f t="shared" si="1"/>
        <v>Cooling</v>
      </c>
      <c r="D4" s="14"/>
      <c r="E4" s="14"/>
      <c r="F4" s="30"/>
      <c r="G4" s="16"/>
      <c r="H4" s="17"/>
      <c r="I4" s="30"/>
      <c r="J4" s="27"/>
      <c r="K4" s="17"/>
      <c r="L4" s="17"/>
      <c r="M4" s="16" t="str">
        <f t="shared" si="2"/>
        <v>A01 - Cooling</v>
      </c>
    </row>
    <row r="5" ht="22.5" customHeight="1">
      <c r="A5" s="12"/>
      <c r="B5" s="43"/>
      <c r="C5" s="30" t="str">
        <f t="shared" si="1"/>
        <v>Cooling</v>
      </c>
      <c r="D5" s="14"/>
      <c r="E5" s="14"/>
      <c r="F5" s="30"/>
      <c r="G5" s="16"/>
      <c r="H5" s="17"/>
      <c r="I5" s="30"/>
      <c r="J5" s="27"/>
      <c r="K5" s="17"/>
      <c r="L5" s="17"/>
      <c r="M5" s="16" t="str">
        <f t="shared" si="2"/>
        <v>A01 - Cooling</v>
      </c>
    </row>
    <row r="6" ht="22.5" customHeight="1">
      <c r="A6" s="12"/>
      <c r="B6" s="44"/>
      <c r="C6" s="30" t="str">
        <f t="shared" si="1"/>
        <v>Cooling</v>
      </c>
      <c r="D6" s="14"/>
      <c r="E6" s="14"/>
      <c r="F6" s="30"/>
      <c r="G6" s="16"/>
      <c r="H6" s="17"/>
      <c r="I6" s="30"/>
      <c r="J6" s="27"/>
      <c r="K6" s="17"/>
      <c r="L6" s="17"/>
      <c r="M6" s="16" t="str">
        <f t="shared" si="2"/>
        <v>A01 - Cooling</v>
      </c>
    </row>
    <row r="7" ht="22.5" customHeight="1">
      <c r="A7" s="12"/>
      <c r="B7" s="43"/>
      <c r="C7" s="30" t="str">
        <f t="shared" si="1"/>
        <v>Cooling</v>
      </c>
      <c r="D7" s="14"/>
      <c r="E7" s="14"/>
      <c r="F7" s="30"/>
      <c r="G7" s="16"/>
      <c r="H7" s="17"/>
      <c r="I7" s="30"/>
      <c r="J7" s="27"/>
      <c r="K7" s="17"/>
      <c r="L7" s="17"/>
      <c r="M7" s="16" t="str">
        <f t="shared" si="2"/>
        <v>A01 - Cooling</v>
      </c>
    </row>
    <row r="8" ht="1.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>
      <c r="A9" s="26"/>
    </row>
    <row r="10">
      <c r="A10" s="26"/>
      <c r="B10" s="26"/>
    </row>
    <row r="11" ht="22.5" customHeight="1">
      <c r="A11" s="41" t="s">
        <v>58</v>
      </c>
      <c r="B11" s="41" t="s">
        <v>67</v>
      </c>
      <c r="C11" s="41" t="s">
        <v>0</v>
      </c>
      <c r="D11" s="41" t="s">
        <v>68</v>
      </c>
      <c r="E11" s="41" t="s">
        <v>69</v>
      </c>
      <c r="F11" s="41" t="s">
        <v>60</v>
      </c>
      <c r="G11" s="41" t="s">
        <v>7</v>
      </c>
      <c r="H11" s="41" t="s">
        <v>204</v>
      </c>
      <c r="I11" s="41" t="s">
        <v>72</v>
      </c>
      <c r="J11" s="41" t="s">
        <v>70</v>
      </c>
      <c r="K11" s="41" t="s">
        <v>206</v>
      </c>
      <c r="L11" s="41" t="s">
        <v>62</v>
      </c>
      <c r="M11" s="41" t="s">
        <v>207</v>
      </c>
    </row>
    <row r="12" ht="22.5" customHeight="1">
      <c r="A12" s="12" t="s">
        <v>305</v>
      </c>
      <c r="B12" s="12" t="s">
        <v>306</v>
      </c>
      <c r="C12" s="13" t="s">
        <v>97</v>
      </c>
      <c r="D12" s="14"/>
      <c r="E12" s="14"/>
      <c r="F12" s="13" t="s">
        <v>75</v>
      </c>
      <c r="G12" s="16"/>
      <c r="H12" s="28" t="s">
        <v>871</v>
      </c>
      <c r="I12" s="13" t="s">
        <v>86</v>
      </c>
      <c r="J12" s="27"/>
      <c r="K12" s="17"/>
      <c r="L12" s="17"/>
      <c r="M12" s="16" t="str">
        <f t="shared" ref="M12:M23" si="3">"A02 - Liquid Loop"</f>
        <v>A02 - Liquid Loop</v>
      </c>
    </row>
    <row r="13" ht="22.5" customHeight="1">
      <c r="A13" s="12" t="s">
        <v>307</v>
      </c>
      <c r="B13" s="45" t="s">
        <v>308</v>
      </c>
      <c r="C13" s="30"/>
      <c r="D13" s="14"/>
      <c r="E13" s="14"/>
      <c r="F13" s="13" t="s">
        <v>75</v>
      </c>
      <c r="G13" s="16"/>
      <c r="H13" s="28" t="s">
        <v>871</v>
      </c>
      <c r="I13" s="13" t="s">
        <v>81</v>
      </c>
      <c r="J13" s="27"/>
      <c r="K13" s="17"/>
      <c r="L13" s="17"/>
      <c r="M13" s="16" t="str">
        <f t="shared" si="3"/>
        <v>A02 - Liquid Loop</v>
      </c>
    </row>
    <row r="14" ht="22.5" customHeight="1">
      <c r="A14" s="12" t="s">
        <v>309</v>
      </c>
      <c r="B14" s="12" t="s">
        <v>310</v>
      </c>
      <c r="C14" s="13" t="s">
        <v>97</v>
      </c>
      <c r="D14" s="15">
        <v>46273.0</v>
      </c>
      <c r="E14" s="15">
        <v>46276.0</v>
      </c>
      <c r="F14" s="13" t="s">
        <v>75</v>
      </c>
      <c r="G14" s="16"/>
      <c r="H14" s="28" t="s">
        <v>871</v>
      </c>
      <c r="I14" s="13" t="s">
        <v>81</v>
      </c>
      <c r="J14" s="27"/>
      <c r="K14" s="17"/>
      <c r="L14" s="17"/>
      <c r="M14" s="16" t="str">
        <f t="shared" si="3"/>
        <v>A02 - Liquid Loop</v>
      </c>
    </row>
    <row r="15" ht="22.5" customHeight="1">
      <c r="A15" s="12" t="s">
        <v>311</v>
      </c>
      <c r="B15" s="12" t="s">
        <v>312</v>
      </c>
      <c r="C15" s="13" t="s">
        <v>97</v>
      </c>
      <c r="D15" s="15">
        <v>46280.0</v>
      </c>
      <c r="E15" s="15">
        <v>46285.0</v>
      </c>
      <c r="F15" s="13" t="s">
        <v>75</v>
      </c>
      <c r="G15" s="16"/>
      <c r="H15" s="28" t="s">
        <v>871</v>
      </c>
      <c r="I15" s="13" t="s">
        <v>86</v>
      </c>
      <c r="J15" s="27"/>
      <c r="K15" s="17"/>
      <c r="L15" s="17"/>
      <c r="M15" s="16" t="str">
        <f t="shared" si="3"/>
        <v>A02 - Liquid Loop</v>
      </c>
    </row>
    <row r="16" ht="22.5" customHeight="1">
      <c r="A16" s="12" t="s">
        <v>313</v>
      </c>
      <c r="B16" s="12" t="s">
        <v>314</v>
      </c>
      <c r="C16" s="13" t="s">
        <v>97</v>
      </c>
      <c r="D16" s="15">
        <v>46280.0</v>
      </c>
      <c r="E16" s="15">
        <v>46290.0</v>
      </c>
      <c r="F16" s="13" t="s">
        <v>75</v>
      </c>
      <c r="G16" s="16"/>
      <c r="H16" s="28" t="s">
        <v>871</v>
      </c>
      <c r="I16" s="13" t="s">
        <v>86</v>
      </c>
      <c r="J16" s="27"/>
      <c r="K16" s="17"/>
      <c r="L16" s="17"/>
      <c r="M16" s="16" t="str">
        <f t="shared" si="3"/>
        <v>A02 - Liquid Loop</v>
      </c>
    </row>
    <row r="17" ht="22.5" customHeight="1">
      <c r="A17" s="12" t="s">
        <v>316</v>
      </c>
      <c r="B17" s="12" t="s">
        <v>317</v>
      </c>
      <c r="C17" s="13" t="s">
        <v>97</v>
      </c>
      <c r="D17" s="15">
        <v>46276.0</v>
      </c>
      <c r="E17" s="15">
        <v>46295.0</v>
      </c>
      <c r="F17" s="13" t="s">
        <v>75</v>
      </c>
      <c r="G17" s="16"/>
      <c r="H17" s="28" t="s">
        <v>871</v>
      </c>
      <c r="I17" s="13" t="s">
        <v>81</v>
      </c>
      <c r="J17" s="27"/>
      <c r="K17" s="17"/>
      <c r="L17" s="17"/>
      <c r="M17" s="16" t="str">
        <f t="shared" si="3"/>
        <v>A02 - Liquid Loop</v>
      </c>
    </row>
    <row r="18" ht="22.5" customHeight="1">
      <c r="A18" s="12" t="s">
        <v>318</v>
      </c>
      <c r="B18" s="12" t="s">
        <v>319</v>
      </c>
      <c r="C18" s="13" t="s">
        <v>97</v>
      </c>
      <c r="D18" s="15">
        <v>46296.0</v>
      </c>
      <c r="E18" s="15">
        <v>46303.0</v>
      </c>
      <c r="F18" s="13" t="s">
        <v>75</v>
      </c>
      <c r="G18" s="16"/>
      <c r="H18" s="28" t="s">
        <v>871</v>
      </c>
      <c r="I18" s="13" t="s">
        <v>86</v>
      </c>
      <c r="J18" s="27"/>
      <c r="K18" s="17"/>
      <c r="L18" s="17"/>
      <c r="M18" s="16" t="str">
        <f t="shared" si="3"/>
        <v>A02 - Liquid Loop</v>
      </c>
    </row>
    <row r="19" ht="22.5" customHeight="1">
      <c r="A19" s="12" t="s">
        <v>320</v>
      </c>
      <c r="B19" s="12" t="s">
        <v>321</v>
      </c>
      <c r="C19" s="13" t="s">
        <v>97</v>
      </c>
      <c r="D19" s="15">
        <v>46305.0</v>
      </c>
      <c r="E19" s="15">
        <v>46312.0</v>
      </c>
      <c r="F19" s="13" t="s">
        <v>75</v>
      </c>
      <c r="G19" s="16"/>
      <c r="H19" s="28" t="s">
        <v>871</v>
      </c>
      <c r="I19" s="13" t="s">
        <v>81</v>
      </c>
      <c r="J19" s="27"/>
      <c r="K19" s="17"/>
      <c r="L19" s="17"/>
      <c r="M19" s="16" t="str">
        <f t="shared" si="3"/>
        <v>A02 - Liquid Loop</v>
      </c>
    </row>
    <row r="20" ht="22.5" customHeight="1">
      <c r="A20" s="12" t="s">
        <v>322</v>
      </c>
      <c r="B20" s="12" t="s">
        <v>323</v>
      </c>
      <c r="C20" s="13" t="s">
        <v>97</v>
      </c>
      <c r="D20" s="15">
        <v>46391.0</v>
      </c>
      <c r="E20" s="15">
        <v>46402.0</v>
      </c>
      <c r="F20" s="13" t="s">
        <v>75</v>
      </c>
      <c r="G20" s="16"/>
      <c r="H20" s="28" t="s">
        <v>871</v>
      </c>
      <c r="I20" s="13" t="s">
        <v>81</v>
      </c>
      <c r="J20" s="27"/>
      <c r="K20" s="17"/>
      <c r="L20" s="17"/>
      <c r="M20" s="16" t="str">
        <f t="shared" si="3"/>
        <v>A02 - Liquid Loop</v>
      </c>
    </row>
    <row r="21" ht="22.5" customHeight="1">
      <c r="A21" s="12" t="s">
        <v>324</v>
      </c>
      <c r="B21" s="12" t="s">
        <v>325</v>
      </c>
      <c r="C21" s="30" t="str">
        <f t="shared" ref="C21:C23" si="4">"Cooling"</f>
        <v>Cooling</v>
      </c>
      <c r="D21" s="15">
        <v>46269.0</v>
      </c>
      <c r="E21" s="15">
        <v>46269.0</v>
      </c>
      <c r="F21" s="13" t="s">
        <v>75</v>
      </c>
      <c r="G21" s="16"/>
      <c r="H21" s="17"/>
      <c r="I21" s="13" t="s">
        <v>81</v>
      </c>
      <c r="J21" s="27"/>
      <c r="K21" s="17"/>
      <c r="L21" s="17"/>
      <c r="M21" s="16" t="str">
        <f t="shared" si="3"/>
        <v>A02 - Liquid Loop</v>
      </c>
    </row>
    <row r="22" ht="22.5" customHeight="1">
      <c r="A22" s="12"/>
      <c r="B22" s="12"/>
      <c r="C22" s="30" t="str">
        <f t="shared" si="4"/>
        <v>Cooling</v>
      </c>
      <c r="D22" s="14"/>
      <c r="E22" s="14"/>
      <c r="F22" s="30"/>
      <c r="G22" s="16"/>
      <c r="H22" s="17"/>
      <c r="I22" s="30"/>
      <c r="J22" s="27"/>
      <c r="K22" s="17"/>
      <c r="L22" s="17"/>
      <c r="M22" s="16" t="str">
        <f t="shared" si="3"/>
        <v>A02 - Liquid Loop</v>
      </c>
    </row>
    <row r="23" ht="22.5" customHeight="1">
      <c r="A23" s="12"/>
      <c r="B23" s="12"/>
      <c r="C23" s="30" t="str">
        <f t="shared" si="4"/>
        <v>Cooling</v>
      </c>
      <c r="D23" s="14"/>
      <c r="E23" s="14"/>
      <c r="F23" s="30"/>
      <c r="G23" s="16"/>
      <c r="H23" s="17"/>
      <c r="I23" s="30"/>
      <c r="J23" s="27"/>
      <c r="K23" s="17"/>
      <c r="L23" s="17"/>
      <c r="M23" s="16" t="str">
        <f t="shared" si="3"/>
        <v>A02 - Liquid Loop</v>
      </c>
    </row>
    <row r="24" ht="1.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>
      <c r="A25" s="26"/>
    </row>
    <row r="26">
      <c r="A26" s="26"/>
      <c r="B26" s="26"/>
    </row>
    <row r="27" ht="22.5" customHeight="1">
      <c r="A27" s="41" t="s">
        <v>58</v>
      </c>
      <c r="B27" s="41" t="s">
        <v>67</v>
      </c>
      <c r="C27" s="41" t="s">
        <v>0</v>
      </c>
      <c r="D27" s="41" t="s">
        <v>68</v>
      </c>
      <c r="E27" s="41" t="s">
        <v>69</v>
      </c>
      <c r="F27" s="41" t="s">
        <v>60</v>
      </c>
      <c r="G27" s="41" t="s">
        <v>7</v>
      </c>
      <c r="H27" s="41" t="s">
        <v>204</v>
      </c>
      <c r="I27" s="41" t="s">
        <v>72</v>
      </c>
      <c r="J27" s="41" t="s">
        <v>70</v>
      </c>
      <c r="K27" s="41" t="s">
        <v>206</v>
      </c>
      <c r="L27" s="41" t="s">
        <v>62</v>
      </c>
      <c r="M27" s="41" t="s">
        <v>207</v>
      </c>
    </row>
    <row r="28" ht="22.5" customHeight="1">
      <c r="A28" s="12" t="s">
        <v>326</v>
      </c>
      <c r="B28" s="12" t="s">
        <v>327</v>
      </c>
      <c r="C28" s="13" t="s">
        <v>97</v>
      </c>
      <c r="D28" s="14"/>
      <c r="E28" s="14"/>
      <c r="F28" s="30"/>
      <c r="G28" s="16"/>
      <c r="H28" s="28" t="s">
        <v>883</v>
      </c>
      <c r="I28" s="13" t="s">
        <v>86</v>
      </c>
      <c r="J28" s="27"/>
      <c r="K28" s="17"/>
      <c r="L28" s="17"/>
      <c r="M28" s="16" t="str">
        <f t="shared" ref="M28:M32" si="5">"A03 - Cooling Sleeve"</f>
        <v>A03 - Cooling Sleeve</v>
      </c>
    </row>
    <row r="29" ht="22.5" customHeight="1">
      <c r="A29" s="12" t="s">
        <v>328</v>
      </c>
      <c r="B29" s="12" t="s">
        <v>329</v>
      </c>
      <c r="C29" s="13" t="s">
        <v>97</v>
      </c>
      <c r="D29" s="14"/>
      <c r="E29" s="14"/>
      <c r="F29" s="30"/>
      <c r="G29" s="16"/>
      <c r="H29" s="28" t="s">
        <v>883</v>
      </c>
      <c r="I29" s="13" t="s">
        <v>81</v>
      </c>
      <c r="J29" s="27"/>
      <c r="K29" s="12" t="s">
        <v>884</v>
      </c>
      <c r="L29" s="17"/>
      <c r="M29" s="16" t="str">
        <f t="shared" si="5"/>
        <v>A03 - Cooling Sleeve</v>
      </c>
    </row>
    <row r="30" ht="22.5" customHeight="1">
      <c r="A30" s="12" t="s">
        <v>330</v>
      </c>
      <c r="B30" s="12" t="s">
        <v>331</v>
      </c>
      <c r="C30" s="13" t="s">
        <v>97</v>
      </c>
      <c r="D30" s="15">
        <v>46260.0</v>
      </c>
      <c r="E30" s="14"/>
      <c r="F30" s="13" t="s">
        <v>80</v>
      </c>
      <c r="G30" s="16"/>
      <c r="H30" s="28" t="s">
        <v>883</v>
      </c>
      <c r="I30" s="13" t="s">
        <v>81</v>
      </c>
      <c r="J30" s="27"/>
      <c r="K30" s="17"/>
      <c r="L30" s="17"/>
      <c r="M30" s="16" t="str">
        <f t="shared" si="5"/>
        <v>A03 - Cooling Sleeve</v>
      </c>
    </row>
    <row r="31" ht="22.5" customHeight="1">
      <c r="A31" s="12"/>
      <c r="B31" s="12"/>
      <c r="C31" s="30" t="str">
        <f t="shared" ref="C31:C32" si="6">"Cooling"</f>
        <v>Cooling</v>
      </c>
      <c r="D31" s="14"/>
      <c r="E31" s="14"/>
      <c r="F31" s="30"/>
      <c r="G31" s="16"/>
      <c r="H31" s="17"/>
      <c r="I31" s="30"/>
      <c r="J31" s="27"/>
      <c r="K31" s="17"/>
      <c r="L31" s="17"/>
      <c r="M31" s="16" t="str">
        <f t="shared" si="5"/>
        <v>A03 - Cooling Sleeve</v>
      </c>
    </row>
    <row r="32" ht="22.5" customHeight="1">
      <c r="A32" s="12"/>
      <c r="B32" s="12"/>
      <c r="C32" s="30" t="str">
        <f t="shared" si="6"/>
        <v>Cooling</v>
      </c>
      <c r="D32" s="14"/>
      <c r="E32" s="14"/>
      <c r="F32" s="30"/>
      <c r="G32" s="16"/>
      <c r="H32" s="17"/>
      <c r="I32" s="30"/>
      <c r="J32" s="27"/>
      <c r="K32" s="17"/>
      <c r="L32" s="17"/>
      <c r="M32" s="16" t="str">
        <f t="shared" si="5"/>
        <v>A03 - Cooling Sleeve</v>
      </c>
    </row>
    <row r="33" ht="1.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>
      <c r="A34" s="26"/>
    </row>
    <row r="35">
      <c r="A35" s="26"/>
      <c r="B35" s="26"/>
    </row>
    <row r="36" ht="22.5" customHeight="1">
      <c r="A36" s="41" t="s">
        <v>58</v>
      </c>
      <c r="B36" s="41" t="s">
        <v>67</v>
      </c>
      <c r="C36" s="41" t="s">
        <v>0</v>
      </c>
      <c r="D36" s="41" t="s">
        <v>68</v>
      </c>
      <c r="E36" s="41" t="s">
        <v>69</v>
      </c>
      <c r="F36" s="41" t="s">
        <v>60</v>
      </c>
      <c r="G36" s="41" t="s">
        <v>7</v>
      </c>
      <c r="H36" s="41" t="s">
        <v>204</v>
      </c>
      <c r="I36" s="41" t="s">
        <v>72</v>
      </c>
      <c r="J36" s="41" t="s">
        <v>70</v>
      </c>
      <c r="K36" s="41" t="s">
        <v>206</v>
      </c>
      <c r="L36" s="41" t="s">
        <v>62</v>
      </c>
      <c r="M36" s="41" t="s">
        <v>207</v>
      </c>
    </row>
    <row r="37" ht="22.5" customHeight="1">
      <c r="A37" s="12" t="s">
        <v>332</v>
      </c>
      <c r="B37" s="12" t="s">
        <v>333</v>
      </c>
      <c r="C37" s="13" t="s">
        <v>97</v>
      </c>
      <c r="D37" s="14"/>
      <c r="E37" s="14"/>
      <c r="F37" s="30"/>
      <c r="G37" s="16"/>
      <c r="H37" s="28" t="s">
        <v>886</v>
      </c>
      <c r="I37" s="13" t="s">
        <v>81</v>
      </c>
      <c r="J37" s="27"/>
      <c r="K37" s="17"/>
      <c r="L37" s="17"/>
      <c r="M37" s="16" t="str">
        <f t="shared" ref="M37:M41" si="7">"A04 - Accumulator Cooling"</f>
        <v>A04 - Accumulator Cooling</v>
      </c>
    </row>
    <row r="38" ht="22.5" customHeight="1">
      <c r="A38" s="12" t="s">
        <v>334</v>
      </c>
      <c r="B38" s="12" t="s">
        <v>335</v>
      </c>
      <c r="C38" s="13" t="s">
        <v>97</v>
      </c>
      <c r="D38" s="15">
        <v>46260.0</v>
      </c>
      <c r="E38" s="15">
        <v>46264.0</v>
      </c>
      <c r="F38" s="13" t="s">
        <v>80</v>
      </c>
      <c r="G38" s="16"/>
      <c r="H38" s="28" t="s">
        <v>886</v>
      </c>
      <c r="I38" s="13" t="s">
        <v>81</v>
      </c>
      <c r="J38" s="27"/>
      <c r="K38" s="17"/>
      <c r="L38" s="17"/>
      <c r="M38" s="16" t="str">
        <f t="shared" si="7"/>
        <v>A04 - Accumulator Cooling</v>
      </c>
    </row>
    <row r="39" ht="22.5" customHeight="1">
      <c r="A39" s="12" t="s">
        <v>336</v>
      </c>
      <c r="B39" s="12" t="s">
        <v>337</v>
      </c>
      <c r="C39" s="13" t="s">
        <v>97</v>
      </c>
      <c r="D39" s="15">
        <v>46264.0</v>
      </c>
      <c r="E39" s="15">
        <v>46275.0</v>
      </c>
      <c r="F39" s="13" t="s">
        <v>80</v>
      </c>
      <c r="G39" s="16"/>
      <c r="H39" s="28" t="s">
        <v>886</v>
      </c>
      <c r="I39" s="13" t="s">
        <v>81</v>
      </c>
      <c r="J39" s="27"/>
      <c r="K39" s="17"/>
      <c r="L39" s="17"/>
      <c r="M39" s="16" t="str">
        <f t="shared" si="7"/>
        <v>A04 - Accumulator Cooling</v>
      </c>
    </row>
    <row r="40" ht="22.5" customHeight="1">
      <c r="A40" s="12"/>
      <c r="B40" s="12"/>
      <c r="C40" s="30" t="str">
        <f t="shared" ref="C40:C41" si="8">"Cooling"</f>
        <v>Cooling</v>
      </c>
      <c r="D40" s="14"/>
      <c r="E40" s="14"/>
      <c r="F40" s="30"/>
      <c r="G40" s="16"/>
      <c r="H40" s="17"/>
      <c r="I40" s="30"/>
      <c r="J40" s="27"/>
      <c r="K40" s="17"/>
      <c r="L40" s="17"/>
      <c r="M40" s="16" t="str">
        <f t="shared" si="7"/>
        <v>A04 - Accumulator Cooling</v>
      </c>
    </row>
    <row r="41" ht="22.5" customHeight="1">
      <c r="A41" s="12"/>
      <c r="B41" s="12"/>
      <c r="C41" s="30" t="str">
        <f t="shared" si="8"/>
        <v>Cooling</v>
      </c>
      <c r="D41" s="14"/>
      <c r="E41" s="14"/>
      <c r="F41" s="30"/>
      <c r="G41" s="16"/>
      <c r="H41" s="17"/>
      <c r="I41" s="30"/>
      <c r="J41" s="27"/>
      <c r="K41" s="17"/>
      <c r="L41" s="17"/>
      <c r="M41" s="16" t="str">
        <f t="shared" si="7"/>
        <v>A04 - Accumulator Cooling</v>
      </c>
    </row>
    <row r="42" ht="1.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</row>
    <row r="43">
      <c r="A43" s="26"/>
    </row>
    <row r="44">
      <c r="A44" s="26"/>
      <c r="B44" s="26"/>
    </row>
    <row r="45" ht="22.5" customHeight="1">
      <c r="A45" s="41" t="s">
        <v>58</v>
      </c>
      <c r="B45" s="41" t="s">
        <v>67</v>
      </c>
      <c r="C45" s="41" t="s">
        <v>0</v>
      </c>
      <c r="D45" s="41" t="s">
        <v>68</v>
      </c>
      <c r="E45" s="41" t="s">
        <v>69</v>
      </c>
      <c r="F45" s="41" t="s">
        <v>60</v>
      </c>
      <c r="G45" s="41" t="s">
        <v>7</v>
      </c>
      <c r="H45" s="41" t="s">
        <v>204</v>
      </c>
      <c r="I45" s="41" t="s">
        <v>72</v>
      </c>
      <c r="J45" s="41" t="s">
        <v>70</v>
      </c>
      <c r="K45" s="41" t="s">
        <v>206</v>
      </c>
      <c r="L45" s="41" t="s">
        <v>62</v>
      </c>
      <c r="M45" s="41" t="s">
        <v>207</v>
      </c>
    </row>
    <row r="46" ht="22.5" customHeight="1">
      <c r="A46" s="12"/>
      <c r="B46" s="12"/>
      <c r="C46" s="30" t="str">
        <f t="shared" ref="C46:C50" si="9">"Cooling"</f>
        <v>Cooling</v>
      </c>
      <c r="D46" s="14"/>
      <c r="E46" s="14"/>
      <c r="F46" s="30"/>
      <c r="G46" s="16"/>
      <c r="H46" s="17"/>
      <c r="I46" s="30"/>
      <c r="J46" s="27"/>
      <c r="K46" s="17"/>
      <c r="L46" s="17"/>
      <c r="M46" s="16" t="str">
        <f t="shared" ref="M46:M50" si="10">"A05 - Other Cooling"</f>
        <v>A05 - Other Cooling</v>
      </c>
    </row>
    <row r="47" ht="22.5" customHeight="1">
      <c r="A47" s="12"/>
      <c r="B47" s="12"/>
      <c r="C47" s="30" t="str">
        <f t="shared" si="9"/>
        <v>Cooling</v>
      </c>
      <c r="D47" s="14"/>
      <c r="E47" s="14"/>
      <c r="F47" s="30"/>
      <c r="G47" s="16"/>
      <c r="H47" s="17"/>
      <c r="I47" s="30"/>
      <c r="J47" s="27"/>
      <c r="K47" s="17"/>
      <c r="L47" s="17"/>
      <c r="M47" s="16" t="str">
        <f t="shared" si="10"/>
        <v>A05 - Other Cooling</v>
      </c>
    </row>
    <row r="48" ht="22.5" customHeight="1">
      <c r="A48" s="12"/>
      <c r="B48" s="12"/>
      <c r="C48" s="30" t="str">
        <f t="shared" si="9"/>
        <v>Cooling</v>
      </c>
      <c r="D48" s="14"/>
      <c r="E48" s="14"/>
      <c r="F48" s="30"/>
      <c r="G48" s="16"/>
      <c r="H48" s="17"/>
      <c r="I48" s="30"/>
      <c r="J48" s="27"/>
      <c r="K48" s="17"/>
      <c r="L48" s="17"/>
      <c r="M48" s="16" t="str">
        <f t="shared" si="10"/>
        <v>A05 - Other Cooling</v>
      </c>
    </row>
    <row r="49" ht="22.5" customHeight="1">
      <c r="A49" s="12"/>
      <c r="B49" s="12"/>
      <c r="C49" s="30" t="str">
        <f t="shared" si="9"/>
        <v>Cooling</v>
      </c>
      <c r="D49" s="14"/>
      <c r="E49" s="14"/>
      <c r="F49" s="30"/>
      <c r="G49" s="16"/>
      <c r="H49" s="17"/>
      <c r="I49" s="30"/>
      <c r="J49" s="27"/>
      <c r="K49" s="17"/>
      <c r="L49" s="17"/>
      <c r="M49" s="16" t="str">
        <f t="shared" si="10"/>
        <v>A05 - Other Cooling</v>
      </c>
    </row>
    <row r="50" ht="22.5" customHeight="1">
      <c r="A50" s="12"/>
      <c r="B50" s="12"/>
      <c r="C50" s="30" t="str">
        <f t="shared" si="9"/>
        <v>Cooling</v>
      </c>
      <c r="D50" s="14"/>
      <c r="E50" s="14"/>
      <c r="F50" s="30"/>
      <c r="G50" s="16"/>
      <c r="H50" s="17"/>
      <c r="I50" s="30"/>
      <c r="J50" s="27"/>
      <c r="K50" s="17"/>
      <c r="L50" s="17"/>
      <c r="M50" s="16" t="str">
        <f t="shared" si="10"/>
        <v>A05 - Other Cooling</v>
      </c>
    </row>
    <row r="51" ht="1.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</row>
    <row r="52">
      <c r="A52" s="26"/>
    </row>
  </sheetData>
  <mergeCells count="10">
    <mergeCell ref="A43:M43"/>
    <mergeCell ref="B44:M44"/>
    <mergeCell ref="A52:M52"/>
    <mergeCell ref="B1:M1"/>
    <mergeCell ref="A9:M9"/>
    <mergeCell ref="B10:M10"/>
    <mergeCell ref="A25:M25"/>
    <mergeCell ref="B26:M26"/>
    <mergeCell ref="A34:M34"/>
    <mergeCell ref="B35:M35"/>
  </mergeCells>
  <dataValidations>
    <dataValidation type="list" allowBlank="1" sqref="J3:J7 J12:J23 J28:J32 J37:J41 J46:J50">
      <formula1>#REF!</formula1>
    </dataValidation>
    <dataValidation type="list" allowBlank="1" sqref="F3:F7 F12:F23 F28:F32 F37:F41 F46:F50">
      <formula1>#REF!</formula1>
    </dataValidation>
    <dataValidation type="custom" allowBlank="1" showDropDown="1" sqref="D3:E7 D12:E23 D28:E32 D37:E41 D46:E50">
      <formula1>OR(NOT(ISERROR(DATEVALUE(D3))), AND(ISNUMBER(D3), LEFT(CELL("format", D3))="D"))</formula1>
    </dataValidation>
    <dataValidation type="list" allowBlank="1" sqref="I3:I7 I12:I23 I28:I32 I37:I41 I46:I50">
      <formula1>#REF!</formula1>
    </dataValidation>
    <dataValidation allowBlank="1" showDropDown="1" sqref="B3:B7 K3:L7 B12:B23 K12:L23 B28:B32 K28:L32 B37:B41 K37:L41 B46:B50 K46:L50"/>
    <dataValidation allowBlank="1" showDropDown="1" sqref="A3:A7 A12:A23 A28:A32 A37:A41 A46:A50"/>
    <dataValidation type="list" allowBlank="1" sqref="G3:G7 M3:M7 G12:G23 M12:M23 G28:G32 M28:M32 G37:G41 M37:M41 G46:G50 M46:M50">
      <formula1>#REF!</formula1>
    </dataValidation>
    <dataValidation type="list" allowBlank="1" sqref="C3:C7 C12:C23 C28:C32 C37:C41 C46:C50">
      <formula1>#REF!</formula1>
    </dataValidation>
  </dataValidations>
  <hyperlinks>
    <hyperlink r:id="rId1" ref="H12"/>
    <hyperlink r:id="rId2" ref="H13"/>
    <hyperlink r:id="rId3" ref="H14"/>
    <hyperlink r:id="rId4" ref="H15"/>
    <hyperlink r:id="rId5" ref="H16"/>
    <hyperlink r:id="rId6" ref="H17"/>
    <hyperlink r:id="rId7" ref="H18"/>
    <hyperlink r:id="rId8" ref="H19"/>
    <hyperlink r:id="rId9" ref="H20"/>
    <hyperlink r:id="rId10" ref="H28"/>
    <hyperlink r:id="rId11" ref="H29"/>
    <hyperlink r:id="rId12" ref="H30"/>
    <hyperlink r:id="rId13" ref="H37"/>
    <hyperlink r:id="rId14" ref="H38"/>
    <hyperlink r:id="rId15" ref="H39"/>
  </hyperlinks>
  <drawing r:id="rId16"/>
  <tableParts count="5">
    <tablePart r:id="rId22"/>
    <tablePart r:id="rId23"/>
    <tablePart r:id="rId24"/>
    <tablePart r:id="rId25"/>
    <tablePart r:id="rId2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78D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7.0"/>
    <col customWidth="1" hidden="1" min="3" max="3" width="16.38"/>
    <col customWidth="1" min="4" max="5" width="13.88"/>
    <col customWidth="1" min="6" max="6" width="14.38"/>
    <col customWidth="1" min="7" max="7" width="17.0"/>
    <col customWidth="1" min="8" max="8" width="17.63"/>
    <col customWidth="1" min="9" max="9" width="14.0"/>
    <col customWidth="1" min="10" max="10" width="19.5"/>
    <col customWidth="1" min="11" max="12" width="25.13"/>
    <col customWidth="1" hidden="1" min="13" max="13" width="25.13"/>
  </cols>
  <sheetData>
    <row r="1">
      <c r="A1" s="26"/>
      <c r="B1" s="26"/>
    </row>
    <row r="2" ht="22.5" customHeight="1">
      <c r="A2" s="41" t="s">
        <v>58</v>
      </c>
      <c r="B2" s="41" t="s">
        <v>67</v>
      </c>
      <c r="C2" s="41" t="s">
        <v>0</v>
      </c>
      <c r="D2" s="41" t="s">
        <v>68</v>
      </c>
      <c r="E2" s="41" t="s">
        <v>69</v>
      </c>
      <c r="F2" s="41" t="s">
        <v>60</v>
      </c>
      <c r="G2" s="41" t="s">
        <v>7</v>
      </c>
      <c r="H2" s="41" t="s">
        <v>204</v>
      </c>
      <c r="I2" s="41" t="s">
        <v>72</v>
      </c>
      <c r="J2" s="41" t="s">
        <v>70</v>
      </c>
      <c r="K2" s="41" t="s">
        <v>206</v>
      </c>
      <c r="L2" s="41" t="s">
        <v>62</v>
      </c>
      <c r="M2" s="41" t="s">
        <v>207</v>
      </c>
    </row>
    <row r="3" ht="22.5" customHeight="1">
      <c r="A3" s="12" t="s">
        <v>338</v>
      </c>
      <c r="B3" s="12" t="s">
        <v>339</v>
      </c>
      <c r="C3" s="13" t="s">
        <v>100</v>
      </c>
      <c r="D3" s="14"/>
      <c r="E3" s="14"/>
      <c r="F3" s="30"/>
      <c r="G3" s="16"/>
      <c r="H3" s="28" t="s">
        <v>888</v>
      </c>
      <c r="I3" s="30"/>
      <c r="J3" s="27"/>
      <c r="K3" s="17"/>
      <c r="L3" s="17"/>
      <c r="M3" s="16" t="str">
        <f t="shared" ref="M3:M7" si="1">"A01 - Firmware"</f>
        <v>A01 - Firmware</v>
      </c>
    </row>
    <row r="4" ht="22.5" customHeight="1">
      <c r="A4" s="12"/>
      <c r="B4" s="12"/>
      <c r="C4" s="30" t="str">
        <f t="shared" ref="C4:C7" si="2">"Firmware"</f>
        <v>Firmware</v>
      </c>
      <c r="D4" s="14"/>
      <c r="E4" s="14"/>
      <c r="F4" s="30"/>
      <c r="G4" s="16"/>
      <c r="H4" s="17"/>
      <c r="I4" s="30"/>
      <c r="J4" s="27"/>
      <c r="K4" s="17"/>
      <c r="L4" s="17"/>
      <c r="M4" s="16" t="str">
        <f t="shared" si="1"/>
        <v>A01 - Firmware</v>
      </c>
    </row>
    <row r="5" ht="22.5" customHeight="1">
      <c r="A5" s="12"/>
      <c r="B5" s="12"/>
      <c r="C5" s="30" t="str">
        <f t="shared" si="2"/>
        <v>Firmware</v>
      </c>
      <c r="D5" s="14"/>
      <c r="E5" s="14"/>
      <c r="F5" s="30"/>
      <c r="G5" s="16"/>
      <c r="H5" s="17"/>
      <c r="I5" s="30"/>
      <c r="J5" s="27"/>
      <c r="K5" s="17"/>
      <c r="L5" s="17"/>
      <c r="M5" s="16" t="str">
        <f t="shared" si="1"/>
        <v>A01 - Firmware</v>
      </c>
    </row>
    <row r="6" ht="22.5" customHeight="1">
      <c r="A6" s="12"/>
      <c r="B6" s="12"/>
      <c r="C6" s="30" t="str">
        <f t="shared" si="2"/>
        <v>Firmware</v>
      </c>
      <c r="D6" s="14"/>
      <c r="E6" s="14"/>
      <c r="F6" s="30"/>
      <c r="G6" s="16"/>
      <c r="H6" s="17"/>
      <c r="I6" s="30"/>
      <c r="J6" s="27"/>
      <c r="K6" s="17"/>
      <c r="L6" s="17"/>
      <c r="M6" s="16" t="str">
        <f t="shared" si="1"/>
        <v>A01 - Firmware</v>
      </c>
    </row>
    <row r="7" ht="22.5" customHeight="1">
      <c r="A7" s="12"/>
      <c r="B7" s="12"/>
      <c r="C7" s="30" t="str">
        <f t="shared" si="2"/>
        <v>Firmware</v>
      </c>
      <c r="D7" s="14"/>
      <c r="E7" s="14"/>
      <c r="F7" s="30"/>
      <c r="G7" s="16"/>
      <c r="H7" s="17"/>
      <c r="I7" s="30"/>
      <c r="J7" s="27"/>
      <c r="K7" s="17"/>
      <c r="L7" s="17"/>
      <c r="M7" s="16" t="str">
        <f t="shared" si="1"/>
        <v>A01 - Firmware</v>
      </c>
    </row>
    <row r="8" ht="1.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>
      <c r="A9" s="26"/>
    </row>
    <row r="10">
      <c r="A10" s="26"/>
      <c r="B10" s="26"/>
    </row>
    <row r="11" ht="22.5" customHeight="1">
      <c r="A11" s="41" t="s">
        <v>58</v>
      </c>
      <c r="B11" s="41" t="s">
        <v>67</v>
      </c>
      <c r="C11" s="41" t="s">
        <v>0</v>
      </c>
      <c r="D11" s="41" t="s">
        <v>68</v>
      </c>
      <c r="E11" s="41" t="s">
        <v>69</v>
      </c>
      <c r="F11" s="41" t="s">
        <v>60</v>
      </c>
      <c r="G11" s="41" t="s">
        <v>7</v>
      </c>
      <c r="H11" s="41" t="s">
        <v>204</v>
      </c>
      <c r="I11" s="41" t="s">
        <v>72</v>
      </c>
      <c r="J11" s="41" t="s">
        <v>70</v>
      </c>
      <c r="K11" s="41" t="s">
        <v>206</v>
      </c>
      <c r="L11" s="41" t="s">
        <v>62</v>
      </c>
      <c r="M11" s="41" t="s">
        <v>207</v>
      </c>
    </row>
    <row r="12" ht="22.5" customHeight="1">
      <c r="A12" s="12" t="s">
        <v>340</v>
      </c>
      <c r="B12" s="12" t="s">
        <v>341</v>
      </c>
      <c r="C12" s="13" t="s">
        <v>100</v>
      </c>
      <c r="D12" s="14"/>
      <c r="E12" s="15">
        <v>46293.0</v>
      </c>
      <c r="F12" s="13" t="s">
        <v>80</v>
      </c>
      <c r="G12" s="16"/>
      <c r="H12" s="28" t="s">
        <v>895</v>
      </c>
      <c r="I12" s="13" t="s">
        <v>86</v>
      </c>
      <c r="J12" s="27"/>
      <c r="K12" s="17"/>
      <c r="L12" s="17"/>
      <c r="M12" s="16" t="str">
        <f t="shared" ref="M12:M19" si="3">"A02 - BMS Code"</f>
        <v>A02 - BMS Code</v>
      </c>
    </row>
    <row r="13" ht="22.5" customHeight="1">
      <c r="A13" s="12" t="s">
        <v>342</v>
      </c>
      <c r="B13" s="12" t="s">
        <v>343</v>
      </c>
      <c r="C13" s="13" t="s">
        <v>100</v>
      </c>
      <c r="D13" s="14"/>
      <c r="E13" s="15">
        <v>46293.0</v>
      </c>
      <c r="F13" s="13" t="s">
        <v>75</v>
      </c>
      <c r="G13" s="16"/>
      <c r="H13" s="28" t="s">
        <v>895</v>
      </c>
      <c r="I13" s="13" t="s">
        <v>81</v>
      </c>
      <c r="J13" s="27"/>
      <c r="K13" s="17"/>
      <c r="L13" s="17"/>
      <c r="M13" s="16" t="str">
        <f t="shared" si="3"/>
        <v>A02 - BMS Code</v>
      </c>
    </row>
    <row r="14" ht="22.5" customHeight="1">
      <c r="A14" s="12" t="s">
        <v>344</v>
      </c>
      <c r="B14" s="12" t="s">
        <v>345</v>
      </c>
      <c r="C14" s="13" t="s">
        <v>100</v>
      </c>
      <c r="D14" s="14"/>
      <c r="E14" s="15">
        <v>46320.0</v>
      </c>
      <c r="F14" s="13" t="s">
        <v>75</v>
      </c>
      <c r="G14" s="16"/>
      <c r="H14" s="28" t="s">
        <v>895</v>
      </c>
      <c r="I14" s="13" t="s">
        <v>81</v>
      </c>
      <c r="J14" s="27"/>
      <c r="K14" s="17"/>
      <c r="L14" s="17"/>
      <c r="M14" s="16" t="str">
        <f t="shared" si="3"/>
        <v>A02 - BMS Code</v>
      </c>
    </row>
    <row r="15" ht="22.5" customHeight="1">
      <c r="A15" s="12" t="s">
        <v>346</v>
      </c>
      <c r="B15" s="12" t="s">
        <v>347</v>
      </c>
      <c r="C15" s="13" t="s">
        <v>100</v>
      </c>
      <c r="D15" s="14"/>
      <c r="E15" s="15">
        <v>46320.0</v>
      </c>
      <c r="F15" s="13" t="s">
        <v>75</v>
      </c>
      <c r="G15" s="16"/>
      <c r="H15" s="28" t="s">
        <v>895</v>
      </c>
      <c r="I15" s="13" t="s">
        <v>86</v>
      </c>
      <c r="J15" s="27"/>
      <c r="K15" s="17"/>
      <c r="L15" s="17"/>
      <c r="M15" s="16" t="str">
        <f t="shared" si="3"/>
        <v>A02 - BMS Code</v>
      </c>
    </row>
    <row r="16" ht="22.5" customHeight="1">
      <c r="A16" s="12" t="s">
        <v>348</v>
      </c>
      <c r="B16" s="12" t="s">
        <v>350</v>
      </c>
      <c r="C16" s="13" t="s">
        <v>100</v>
      </c>
      <c r="D16" s="14"/>
      <c r="E16" s="15">
        <v>46320.0</v>
      </c>
      <c r="F16" s="13" t="s">
        <v>75</v>
      </c>
      <c r="G16" s="16"/>
      <c r="H16" s="28" t="s">
        <v>895</v>
      </c>
      <c r="I16" s="13" t="s">
        <v>86</v>
      </c>
      <c r="J16" s="27"/>
      <c r="K16" s="17"/>
      <c r="L16" s="17"/>
      <c r="M16" s="16" t="str">
        <f t="shared" si="3"/>
        <v>A02 - BMS Code</v>
      </c>
    </row>
    <row r="17" ht="22.5" customHeight="1">
      <c r="A17" s="12" t="s">
        <v>351</v>
      </c>
      <c r="B17" s="12" t="s">
        <v>352</v>
      </c>
      <c r="C17" s="13" t="s">
        <v>100</v>
      </c>
      <c r="D17" s="14"/>
      <c r="E17" s="15">
        <v>46351.0</v>
      </c>
      <c r="F17" s="13" t="s">
        <v>75</v>
      </c>
      <c r="G17" s="16"/>
      <c r="H17" s="28" t="s">
        <v>895</v>
      </c>
      <c r="I17" s="13" t="s">
        <v>81</v>
      </c>
      <c r="J17" s="27"/>
      <c r="K17" s="17"/>
      <c r="L17" s="17"/>
      <c r="M17" s="16" t="str">
        <f t="shared" si="3"/>
        <v>A02 - BMS Code</v>
      </c>
    </row>
    <row r="18" ht="22.5" customHeight="1">
      <c r="A18" s="12"/>
      <c r="B18" s="12"/>
      <c r="C18" s="30" t="str">
        <f t="shared" ref="C18:C19" si="4">"Firmware"</f>
        <v>Firmware</v>
      </c>
      <c r="D18" s="14"/>
      <c r="E18" s="14"/>
      <c r="F18" s="30"/>
      <c r="G18" s="16"/>
      <c r="H18" s="17"/>
      <c r="I18" s="30"/>
      <c r="J18" s="27"/>
      <c r="K18" s="17"/>
      <c r="L18" s="17"/>
      <c r="M18" s="16" t="str">
        <f t="shared" si="3"/>
        <v>A02 - BMS Code</v>
      </c>
    </row>
    <row r="19" ht="22.5" customHeight="1">
      <c r="A19" s="12"/>
      <c r="B19" s="12"/>
      <c r="C19" s="30" t="str">
        <f t="shared" si="4"/>
        <v>Firmware</v>
      </c>
      <c r="D19" s="14"/>
      <c r="E19" s="14"/>
      <c r="F19" s="30"/>
      <c r="G19" s="16"/>
      <c r="H19" s="17"/>
      <c r="I19" s="30"/>
      <c r="J19" s="27"/>
      <c r="K19" s="17"/>
      <c r="L19" s="17"/>
      <c r="M19" s="16" t="str">
        <f t="shared" si="3"/>
        <v>A02 - BMS Code</v>
      </c>
    </row>
    <row r="20" ht="1.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>
      <c r="A21" s="26"/>
    </row>
    <row r="22">
      <c r="A22" s="26"/>
      <c r="B22" s="26"/>
    </row>
    <row r="23" ht="22.5" customHeight="1">
      <c r="A23" s="41" t="s">
        <v>58</v>
      </c>
      <c r="B23" s="41" t="s">
        <v>67</v>
      </c>
      <c r="C23" s="41" t="s">
        <v>0</v>
      </c>
      <c r="D23" s="41" t="s">
        <v>68</v>
      </c>
      <c r="E23" s="41" t="s">
        <v>69</v>
      </c>
      <c r="F23" s="41" t="s">
        <v>60</v>
      </c>
      <c r="G23" s="41" t="s">
        <v>7</v>
      </c>
      <c r="H23" s="41" t="s">
        <v>204</v>
      </c>
      <c r="I23" s="41" t="s">
        <v>72</v>
      </c>
      <c r="J23" s="41" t="s">
        <v>70</v>
      </c>
      <c r="K23" s="41" t="s">
        <v>206</v>
      </c>
      <c r="L23" s="41" t="s">
        <v>62</v>
      </c>
      <c r="M23" s="41" t="s">
        <v>207</v>
      </c>
    </row>
    <row r="24" ht="22.5" customHeight="1">
      <c r="A24" s="12" t="s">
        <v>353</v>
      </c>
      <c r="B24" s="12" t="s">
        <v>354</v>
      </c>
      <c r="C24" s="13" t="s">
        <v>100</v>
      </c>
      <c r="D24" s="14"/>
      <c r="E24" s="15">
        <v>46320.0</v>
      </c>
      <c r="F24" s="13" t="s">
        <v>75</v>
      </c>
      <c r="G24" s="16"/>
      <c r="H24" s="28" t="s">
        <v>888</v>
      </c>
      <c r="I24" s="13" t="s">
        <v>86</v>
      </c>
      <c r="J24" s="27"/>
      <c r="K24" s="17"/>
      <c r="L24" s="17"/>
      <c r="M24" s="16" t="str">
        <f t="shared" ref="M24:M29" si="5">"A03 - ECU Code"</f>
        <v>A03 - ECU Code</v>
      </c>
    </row>
    <row r="25" ht="22.5" customHeight="1">
      <c r="A25" s="12" t="s">
        <v>355</v>
      </c>
      <c r="B25" s="12" t="s">
        <v>356</v>
      </c>
      <c r="C25" s="13" t="s">
        <v>100</v>
      </c>
      <c r="D25" s="14"/>
      <c r="E25" s="15">
        <v>46293.0</v>
      </c>
      <c r="F25" s="13" t="s">
        <v>75</v>
      </c>
      <c r="G25" s="16"/>
      <c r="H25" s="28" t="s">
        <v>916</v>
      </c>
      <c r="I25" s="30"/>
      <c r="J25" s="27"/>
      <c r="K25" s="17"/>
      <c r="L25" s="17"/>
      <c r="M25" s="16" t="str">
        <f t="shared" si="5"/>
        <v>A03 - ECU Code</v>
      </c>
    </row>
    <row r="26" ht="22.5" customHeight="1">
      <c r="A26" s="12" t="s">
        <v>357</v>
      </c>
      <c r="B26" s="12" t="s">
        <v>358</v>
      </c>
      <c r="C26" s="13" t="s">
        <v>100</v>
      </c>
      <c r="D26" s="14"/>
      <c r="E26" s="15">
        <v>46299.0</v>
      </c>
      <c r="F26" s="13" t="s">
        <v>75</v>
      </c>
      <c r="G26" s="16"/>
      <c r="H26" s="28" t="s">
        <v>916</v>
      </c>
      <c r="I26" s="30"/>
      <c r="J26" s="27"/>
      <c r="K26" s="17"/>
      <c r="L26" s="17"/>
      <c r="M26" s="16" t="str">
        <f t="shared" si="5"/>
        <v>A03 - ECU Code</v>
      </c>
    </row>
    <row r="27" ht="22.5" customHeight="1">
      <c r="A27" s="12"/>
      <c r="B27" s="12"/>
      <c r="C27" s="30" t="str">
        <f t="shared" ref="C27:C29" si="6">"Firmware"</f>
        <v>Firmware</v>
      </c>
      <c r="D27" s="14"/>
      <c r="E27" s="14"/>
      <c r="F27" s="30"/>
      <c r="G27" s="16"/>
      <c r="H27" s="17"/>
      <c r="I27" s="30"/>
      <c r="J27" s="27"/>
      <c r="K27" s="17"/>
      <c r="L27" s="17"/>
      <c r="M27" s="16" t="str">
        <f t="shared" si="5"/>
        <v>A03 - ECU Code</v>
      </c>
    </row>
    <row r="28" ht="22.5" customHeight="1">
      <c r="A28" s="12"/>
      <c r="B28" s="12"/>
      <c r="C28" s="30" t="str">
        <f t="shared" si="6"/>
        <v>Firmware</v>
      </c>
      <c r="D28" s="14"/>
      <c r="E28" s="14"/>
      <c r="F28" s="30"/>
      <c r="G28" s="16"/>
      <c r="H28" s="17"/>
      <c r="I28" s="30"/>
      <c r="J28" s="27"/>
      <c r="K28" s="17"/>
      <c r="L28" s="17"/>
      <c r="M28" s="16" t="str">
        <f t="shared" si="5"/>
        <v>A03 - ECU Code</v>
      </c>
    </row>
    <row r="29" ht="22.5" customHeight="1">
      <c r="A29" s="12"/>
      <c r="B29" s="12"/>
      <c r="C29" s="30" t="str">
        <f t="shared" si="6"/>
        <v>Firmware</v>
      </c>
      <c r="D29" s="14"/>
      <c r="E29" s="14"/>
      <c r="F29" s="30"/>
      <c r="G29" s="16"/>
      <c r="H29" s="17"/>
      <c r="I29" s="30"/>
      <c r="J29" s="27"/>
      <c r="K29" s="17"/>
      <c r="L29" s="17"/>
      <c r="M29" s="16" t="str">
        <f t="shared" si="5"/>
        <v>A03 - ECU Code</v>
      </c>
    </row>
    <row r="30" ht="1.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</row>
    <row r="31">
      <c r="A31" s="26"/>
    </row>
    <row r="32">
      <c r="A32" s="26"/>
      <c r="B32" s="26"/>
    </row>
    <row r="33" ht="22.5" customHeight="1">
      <c r="A33" s="41" t="s">
        <v>58</v>
      </c>
      <c r="B33" s="41" t="s">
        <v>67</v>
      </c>
      <c r="C33" s="41" t="s">
        <v>0</v>
      </c>
      <c r="D33" s="41" t="s">
        <v>68</v>
      </c>
      <c r="E33" s="41" t="s">
        <v>69</v>
      </c>
      <c r="F33" s="41" t="s">
        <v>60</v>
      </c>
      <c r="G33" s="41" t="s">
        <v>7</v>
      </c>
      <c r="H33" s="41" t="s">
        <v>204</v>
      </c>
      <c r="I33" s="41" t="s">
        <v>72</v>
      </c>
      <c r="J33" s="41" t="s">
        <v>70</v>
      </c>
      <c r="K33" s="41" t="s">
        <v>206</v>
      </c>
      <c r="L33" s="41" t="s">
        <v>62</v>
      </c>
      <c r="M33" s="41" t="s">
        <v>207</v>
      </c>
    </row>
    <row r="34" ht="22.5" customHeight="1">
      <c r="A34" s="12" t="s">
        <v>359</v>
      </c>
      <c r="B34" s="12" t="s">
        <v>360</v>
      </c>
      <c r="C34" s="13" t="s">
        <v>100</v>
      </c>
      <c r="D34" s="14"/>
      <c r="E34" s="15">
        <v>46293.0</v>
      </c>
      <c r="F34" s="13" t="s">
        <v>75</v>
      </c>
      <c r="G34" s="16"/>
      <c r="H34" s="28" t="s">
        <v>921</v>
      </c>
      <c r="I34" s="13" t="s">
        <v>76</v>
      </c>
      <c r="J34" s="27"/>
      <c r="K34" s="17"/>
      <c r="L34" s="17"/>
      <c r="M34" s="16" t="str">
        <f t="shared" ref="M34:M49" si="7">"A04 - Active VD Controls"</f>
        <v>A04 - Active VD Controls</v>
      </c>
    </row>
    <row r="35" ht="22.5" customHeight="1">
      <c r="A35" s="12" t="s">
        <v>361</v>
      </c>
      <c r="B35" s="12" t="s">
        <v>362</v>
      </c>
      <c r="C35" s="13" t="s">
        <v>100</v>
      </c>
      <c r="D35" s="14"/>
      <c r="E35" s="15">
        <v>46293.0</v>
      </c>
      <c r="F35" s="13" t="s">
        <v>75</v>
      </c>
      <c r="G35" s="16"/>
      <c r="H35" s="28" t="s">
        <v>921</v>
      </c>
      <c r="I35" s="13" t="s">
        <v>76</v>
      </c>
      <c r="J35" s="27"/>
      <c r="K35" s="17"/>
      <c r="L35" s="17"/>
      <c r="M35" s="16" t="str">
        <f t="shared" si="7"/>
        <v>A04 - Active VD Controls</v>
      </c>
    </row>
    <row r="36" ht="22.5" customHeight="1">
      <c r="A36" s="12" t="s">
        <v>363</v>
      </c>
      <c r="B36" s="12" t="s">
        <v>364</v>
      </c>
      <c r="C36" s="13" t="s">
        <v>100</v>
      </c>
      <c r="D36" s="14"/>
      <c r="E36" s="15">
        <v>46293.0</v>
      </c>
      <c r="F36" s="13" t="s">
        <v>75</v>
      </c>
      <c r="G36" s="16"/>
      <c r="H36" s="28" t="s">
        <v>921</v>
      </c>
      <c r="I36" s="13" t="s">
        <v>76</v>
      </c>
      <c r="J36" s="27"/>
      <c r="K36" s="17"/>
      <c r="L36" s="17"/>
      <c r="M36" s="16" t="str">
        <f t="shared" si="7"/>
        <v>A04 - Active VD Controls</v>
      </c>
    </row>
    <row r="37" ht="22.5" customHeight="1">
      <c r="A37" s="12" t="s">
        <v>365</v>
      </c>
      <c r="B37" s="12" t="s">
        <v>366</v>
      </c>
      <c r="C37" s="13" t="s">
        <v>100</v>
      </c>
      <c r="D37" s="14"/>
      <c r="E37" s="15">
        <v>46320.0</v>
      </c>
      <c r="F37" s="13" t="s">
        <v>75</v>
      </c>
      <c r="G37" s="16"/>
      <c r="H37" s="28" t="s">
        <v>921</v>
      </c>
      <c r="I37" s="13" t="s">
        <v>76</v>
      </c>
      <c r="J37" s="27"/>
      <c r="K37" s="17"/>
      <c r="L37" s="17"/>
      <c r="M37" s="16" t="str">
        <f t="shared" si="7"/>
        <v>A04 - Active VD Controls</v>
      </c>
    </row>
    <row r="38" ht="22.5" customHeight="1">
      <c r="A38" s="12" t="s">
        <v>367</v>
      </c>
      <c r="B38" s="12" t="s">
        <v>368</v>
      </c>
      <c r="C38" s="13" t="s">
        <v>100</v>
      </c>
      <c r="D38" s="14"/>
      <c r="E38" s="15">
        <v>46351.0</v>
      </c>
      <c r="F38" s="13" t="s">
        <v>75</v>
      </c>
      <c r="G38" s="16"/>
      <c r="H38" s="28" t="s">
        <v>921</v>
      </c>
      <c r="I38" s="13" t="s">
        <v>81</v>
      </c>
      <c r="J38" s="27"/>
      <c r="K38" s="17"/>
      <c r="L38" s="17"/>
      <c r="M38" s="16" t="str">
        <f t="shared" si="7"/>
        <v>A04 - Active VD Controls</v>
      </c>
    </row>
    <row r="39" ht="22.5" customHeight="1">
      <c r="A39" s="12" t="s">
        <v>369</v>
      </c>
      <c r="B39" s="12" t="s">
        <v>370</v>
      </c>
      <c r="C39" s="13" t="s">
        <v>100</v>
      </c>
      <c r="D39" s="14"/>
      <c r="E39" s="15">
        <v>46351.0</v>
      </c>
      <c r="F39" s="13" t="s">
        <v>75</v>
      </c>
      <c r="G39" s="16"/>
      <c r="H39" s="28" t="s">
        <v>921</v>
      </c>
      <c r="I39" s="13" t="s">
        <v>81</v>
      </c>
      <c r="J39" s="27"/>
      <c r="K39" s="17"/>
      <c r="L39" s="17"/>
      <c r="M39" s="16" t="str">
        <f t="shared" si="7"/>
        <v>A04 - Active VD Controls</v>
      </c>
    </row>
    <row r="40" ht="22.5" customHeight="1">
      <c r="A40" s="12" t="s">
        <v>371</v>
      </c>
      <c r="B40" s="12" t="s">
        <v>372</v>
      </c>
      <c r="C40" s="13" t="s">
        <v>100</v>
      </c>
      <c r="D40" s="14"/>
      <c r="E40" s="15">
        <v>46401.0</v>
      </c>
      <c r="F40" s="13" t="s">
        <v>75</v>
      </c>
      <c r="G40" s="16"/>
      <c r="H40" s="28" t="s">
        <v>921</v>
      </c>
      <c r="I40" s="13" t="s">
        <v>81</v>
      </c>
      <c r="J40" s="27"/>
      <c r="K40" s="17"/>
      <c r="L40" s="12" t="s">
        <v>925</v>
      </c>
      <c r="M40" s="16" t="str">
        <f t="shared" si="7"/>
        <v>A04 - Active VD Controls</v>
      </c>
    </row>
    <row r="41" ht="22.5" customHeight="1">
      <c r="A41" s="12" t="s">
        <v>373</v>
      </c>
      <c r="B41" s="12" t="s">
        <v>375</v>
      </c>
      <c r="C41" s="13" t="s">
        <v>100</v>
      </c>
      <c r="D41" s="14"/>
      <c r="E41" s="15">
        <v>46401.0</v>
      </c>
      <c r="F41" s="13" t="s">
        <v>75</v>
      </c>
      <c r="G41" s="16"/>
      <c r="H41" s="28" t="s">
        <v>921</v>
      </c>
      <c r="I41" s="13" t="s">
        <v>81</v>
      </c>
      <c r="J41" s="27"/>
      <c r="K41" s="17"/>
      <c r="L41" s="12" t="s">
        <v>925</v>
      </c>
      <c r="M41" s="16" t="str">
        <f t="shared" si="7"/>
        <v>A04 - Active VD Controls</v>
      </c>
    </row>
    <row r="42" ht="22.5" customHeight="1">
      <c r="A42" s="12" t="s">
        <v>376</v>
      </c>
      <c r="B42" s="12" t="s">
        <v>377</v>
      </c>
      <c r="C42" s="13" t="s">
        <v>100</v>
      </c>
      <c r="D42" s="14"/>
      <c r="E42" s="15">
        <v>46293.0</v>
      </c>
      <c r="F42" s="13" t="s">
        <v>75</v>
      </c>
      <c r="G42" s="16"/>
      <c r="H42" s="28" t="s">
        <v>921</v>
      </c>
      <c r="I42" s="13" t="s">
        <v>81</v>
      </c>
      <c r="J42" s="27"/>
      <c r="K42" s="17"/>
      <c r="L42" s="17"/>
      <c r="M42" s="16" t="str">
        <f t="shared" si="7"/>
        <v>A04 - Active VD Controls</v>
      </c>
    </row>
    <row r="43" ht="22.5" customHeight="1">
      <c r="A43" s="12" t="s">
        <v>378</v>
      </c>
      <c r="B43" s="12" t="s">
        <v>379</v>
      </c>
      <c r="C43" s="13" t="s">
        <v>100</v>
      </c>
      <c r="D43" s="14"/>
      <c r="E43" s="15">
        <v>46293.0</v>
      </c>
      <c r="F43" s="30"/>
      <c r="G43" s="16"/>
      <c r="H43" s="17"/>
      <c r="I43" s="30"/>
      <c r="J43" s="27"/>
      <c r="K43" s="17"/>
      <c r="L43" s="17"/>
      <c r="M43" s="16" t="str">
        <f t="shared" si="7"/>
        <v>A04 - Active VD Controls</v>
      </c>
    </row>
    <row r="44" ht="22.5" customHeight="1">
      <c r="A44" s="12" t="s">
        <v>380</v>
      </c>
      <c r="B44" s="12" t="s">
        <v>381</v>
      </c>
      <c r="C44" s="30"/>
      <c r="D44" s="14"/>
      <c r="E44" s="15">
        <v>46280.0</v>
      </c>
      <c r="F44" s="13" t="s">
        <v>80</v>
      </c>
      <c r="G44" s="16"/>
      <c r="H44" s="28" t="s">
        <v>916</v>
      </c>
      <c r="I44" s="13" t="s">
        <v>76</v>
      </c>
      <c r="J44" s="27"/>
      <c r="K44" s="17"/>
      <c r="L44" s="17"/>
      <c r="M44" s="16" t="str">
        <f t="shared" si="7"/>
        <v>A04 - Active VD Controls</v>
      </c>
    </row>
    <row r="45" ht="22.5" customHeight="1">
      <c r="A45" s="12" t="s">
        <v>382</v>
      </c>
      <c r="B45" s="12" t="s">
        <v>383</v>
      </c>
      <c r="C45" s="30"/>
      <c r="D45" s="14"/>
      <c r="E45" s="15">
        <v>46291.0</v>
      </c>
      <c r="F45" s="13" t="s">
        <v>85</v>
      </c>
      <c r="G45" s="16"/>
      <c r="H45" s="28" t="s">
        <v>916</v>
      </c>
      <c r="I45" s="13" t="s">
        <v>76</v>
      </c>
      <c r="J45" s="29" t="s">
        <v>380</v>
      </c>
      <c r="K45" s="17"/>
      <c r="L45" s="17"/>
      <c r="M45" s="16" t="str">
        <f t="shared" si="7"/>
        <v>A04 - Active VD Controls</v>
      </c>
    </row>
    <row r="46" ht="22.5" customHeight="1">
      <c r="A46" s="12" t="s">
        <v>384</v>
      </c>
      <c r="B46" s="12" t="s">
        <v>385</v>
      </c>
      <c r="C46" s="30"/>
      <c r="D46" s="14"/>
      <c r="E46" s="15">
        <v>46298.0</v>
      </c>
      <c r="F46" s="13" t="s">
        <v>75</v>
      </c>
      <c r="G46" s="16"/>
      <c r="H46" s="17"/>
      <c r="I46" s="13" t="s">
        <v>81</v>
      </c>
      <c r="J46" s="27"/>
      <c r="K46" s="17"/>
      <c r="L46" s="17"/>
      <c r="M46" s="16" t="str">
        <f t="shared" si="7"/>
        <v>A04 - Active VD Controls</v>
      </c>
    </row>
    <row r="47" ht="22.5" customHeight="1">
      <c r="A47" s="12" t="s">
        <v>386</v>
      </c>
      <c r="B47" s="12" t="s">
        <v>387</v>
      </c>
      <c r="C47" s="30" t="str">
        <f t="shared" ref="C47:C49" si="8">"Firmware"</f>
        <v>Firmware</v>
      </c>
      <c r="D47" s="15">
        <v>46300.0</v>
      </c>
      <c r="E47" s="15">
        <v>46326.0</v>
      </c>
      <c r="F47" s="13" t="s">
        <v>75</v>
      </c>
      <c r="G47" s="16"/>
      <c r="H47" s="17"/>
      <c r="I47" s="13" t="s">
        <v>81</v>
      </c>
      <c r="J47" s="29" t="s">
        <v>365</v>
      </c>
      <c r="K47" s="17"/>
      <c r="L47" s="17"/>
      <c r="M47" s="16" t="str">
        <f t="shared" si="7"/>
        <v>A04 - Active VD Controls</v>
      </c>
    </row>
    <row r="48" ht="22.5" customHeight="1">
      <c r="A48" s="12"/>
      <c r="B48" s="12"/>
      <c r="C48" s="30" t="str">
        <f t="shared" si="8"/>
        <v>Firmware</v>
      </c>
      <c r="D48" s="14"/>
      <c r="E48" s="14"/>
      <c r="F48" s="30"/>
      <c r="G48" s="16"/>
      <c r="H48" s="17"/>
      <c r="I48" s="30"/>
      <c r="J48" s="27"/>
      <c r="K48" s="17"/>
      <c r="L48" s="17"/>
      <c r="M48" s="16" t="str">
        <f t="shared" si="7"/>
        <v>A04 - Active VD Controls</v>
      </c>
    </row>
    <row r="49" ht="22.5" customHeight="1">
      <c r="A49" s="12"/>
      <c r="B49" s="12"/>
      <c r="C49" s="30" t="str">
        <f t="shared" si="8"/>
        <v>Firmware</v>
      </c>
      <c r="D49" s="14"/>
      <c r="E49" s="14"/>
      <c r="F49" s="30"/>
      <c r="G49" s="16"/>
      <c r="H49" s="17"/>
      <c r="I49" s="30"/>
      <c r="J49" s="27"/>
      <c r="K49" s="17"/>
      <c r="L49" s="17"/>
      <c r="M49" s="16" t="str">
        <f t="shared" si="7"/>
        <v>A04 - Active VD Controls</v>
      </c>
    </row>
    <row r="50" ht="1.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</row>
    <row r="51">
      <c r="A51" s="26"/>
    </row>
    <row r="52">
      <c r="A52" s="26"/>
      <c r="B52" s="26"/>
    </row>
    <row r="53" ht="22.5" customHeight="1">
      <c r="A53" s="41" t="s">
        <v>58</v>
      </c>
      <c r="B53" s="41" t="s">
        <v>67</v>
      </c>
      <c r="C53" s="41" t="s">
        <v>0</v>
      </c>
      <c r="D53" s="41" t="s">
        <v>68</v>
      </c>
      <c r="E53" s="41" t="s">
        <v>69</v>
      </c>
      <c r="F53" s="41" t="s">
        <v>60</v>
      </c>
      <c r="G53" s="41" t="s">
        <v>7</v>
      </c>
      <c r="H53" s="41" t="s">
        <v>204</v>
      </c>
      <c r="I53" s="41" t="s">
        <v>72</v>
      </c>
      <c r="J53" s="41" t="s">
        <v>70</v>
      </c>
      <c r="K53" s="41" t="s">
        <v>206</v>
      </c>
      <c r="L53" s="41" t="s">
        <v>62</v>
      </c>
      <c r="M53" s="41" t="s">
        <v>207</v>
      </c>
    </row>
    <row r="54" ht="22.5" customHeight="1">
      <c r="A54" s="12" t="s">
        <v>388</v>
      </c>
      <c r="B54" s="12" t="s">
        <v>389</v>
      </c>
      <c r="C54" s="13" t="s">
        <v>100</v>
      </c>
      <c r="D54" s="14"/>
      <c r="E54" s="15">
        <v>46293.0</v>
      </c>
      <c r="F54" s="13" t="s">
        <v>75</v>
      </c>
      <c r="G54" s="16"/>
      <c r="H54" s="28" t="s">
        <v>932</v>
      </c>
      <c r="I54" s="30"/>
      <c r="J54" s="27"/>
      <c r="K54" s="17"/>
      <c r="L54" s="17"/>
      <c r="M54" s="16" t="str">
        <f t="shared" ref="M54:M62" si="9">"A05 - Dash Firmware"</f>
        <v>A05 - Dash Firmware</v>
      </c>
    </row>
    <row r="55" ht="22.5" customHeight="1">
      <c r="A55" s="12" t="s">
        <v>390</v>
      </c>
      <c r="B55" s="12" t="s">
        <v>391</v>
      </c>
      <c r="C55" s="13" t="s">
        <v>100</v>
      </c>
      <c r="D55" s="14"/>
      <c r="E55" s="15">
        <v>46320.0</v>
      </c>
      <c r="F55" s="13" t="s">
        <v>75</v>
      </c>
      <c r="G55" s="16"/>
      <c r="H55" s="28" t="s">
        <v>932</v>
      </c>
      <c r="I55" s="30"/>
      <c r="J55" s="27"/>
      <c r="K55" s="17"/>
      <c r="L55" s="17"/>
      <c r="M55" s="16" t="str">
        <f t="shared" si="9"/>
        <v>A05 - Dash Firmware</v>
      </c>
    </row>
    <row r="56" ht="22.5" customHeight="1">
      <c r="A56" s="12" t="s">
        <v>392</v>
      </c>
      <c r="B56" s="12" t="s">
        <v>393</v>
      </c>
      <c r="C56" s="13" t="s">
        <v>100</v>
      </c>
      <c r="D56" s="14"/>
      <c r="E56" s="15">
        <v>46351.0</v>
      </c>
      <c r="F56" s="13" t="s">
        <v>75</v>
      </c>
      <c r="G56" s="16"/>
      <c r="H56" s="28" t="s">
        <v>932</v>
      </c>
      <c r="I56" s="30"/>
      <c r="J56" s="27"/>
      <c r="K56" s="17"/>
      <c r="L56" s="17"/>
      <c r="M56" s="16" t="str">
        <f t="shared" si="9"/>
        <v>A05 - Dash Firmware</v>
      </c>
    </row>
    <row r="57" ht="22.5" customHeight="1">
      <c r="A57" s="12" t="s">
        <v>394</v>
      </c>
      <c r="B57" s="12" t="s">
        <v>395</v>
      </c>
      <c r="C57" s="13" t="s">
        <v>100</v>
      </c>
      <c r="D57" s="14"/>
      <c r="E57" s="15">
        <v>46401.0</v>
      </c>
      <c r="F57" s="13" t="s">
        <v>75</v>
      </c>
      <c r="G57" s="16"/>
      <c r="H57" s="28" t="s">
        <v>932</v>
      </c>
      <c r="I57" s="30"/>
      <c r="J57" s="27"/>
      <c r="K57" s="17"/>
      <c r="L57" s="17"/>
      <c r="M57" s="16" t="str">
        <f t="shared" si="9"/>
        <v>A05 - Dash Firmware</v>
      </c>
    </row>
    <row r="58" ht="22.5" customHeight="1">
      <c r="A58" s="12" t="s">
        <v>396</v>
      </c>
      <c r="B58" s="12" t="s">
        <v>397</v>
      </c>
      <c r="C58" s="13" t="s">
        <v>100</v>
      </c>
      <c r="D58" s="14"/>
      <c r="E58" s="15">
        <v>46401.0</v>
      </c>
      <c r="F58" s="13" t="s">
        <v>75</v>
      </c>
      <c r="G58" s="16"/>
      <c r="H58" s="28" t="s">
        <v>932</v>
      </c>
      <c r="I58" s="30"/>
      <c r="J58" s="27"/>
      <c r="K58" s="17"/>
      <c r="L58" s="17"/>
      <c r="M58" s="16" t="str">
        <f t="shared" si="9"/>
        <v>A05 - Dash Firmware</v>
      </c>
    </row>
    <row r="59" ht="22.5" customHeight="1">
      <c r="A59" s="12" t="s">
        <v>398</v>
      </c>
      <c r="B59" s="12" t="s">
        <v>399</v>
      </c>
      <c r="C59" s="13" t="s">
        <v>100</v>
      </c>
      <c r="D59" s="14"/>
      <c r="E59" s="15">
        <v>46293.0</v>
      </c>
      <c r="F59" s="13" t="s">
        <v>75</v>
      </c>
      <c r="G59" s="16"/>
      <c r="H59" s="28" t="s">
        <v>932</v>
      </c>
      <c r="I59" s="30"/>
      <c r="J59" s="27"/>
      <c r="K59" s="17"/>
      <c r="L59" s="17"/>
      <c r="M59" s="16" t="str">
        <f t="shared" si="9"/>
        <v>A05 - Dash Firmware</v>
      </c>
    </row>
    <row r="60" ht="22.5" customHeight="1">
      <c r="A60" s="12" t="s">
        <v>400</v>
      </c>
      <c r="B60" s="12"/>
      <c r="C60" s="30" t="str">
        <f t="shared" ref="C60:C62" si="10">"Firmware"</f>
        <v>Firmware</v>
      </c>
      <c r="D60" s="14"/>
      <c r="E60" s="14"/>
      <c r="F60" s="30"/>
      <c r="G60" s="16"/>
      <c r="H60" s="17"/>
      <c r="I60" s="30"/>
      <c r="J60" s="27"/>
      <c r="K60" s="17"/>
      <c r="L60" s="17"/>
      <c r="M60" s="16" t="str">
        <f t="shared" si="9"/>
        <v>A05 - Dash Firmware</v>
      </c>
    </row>
    <row r="61" ht="22.5" customHeight="1">
      <c r="A61" s="12"/>
      <c r="B61" s="12"/>
      <c r="C61" s="30" t="str">
        <f t="shared" si="10"/>
        <v>Firmware</v>
      </c>
      <c r="D61" s="14"/>
      <c r="E61" s="14"/>
      <c r="F61" s="30"/>
      <c r="G61" s="16"/>
      <c r="H61" s="17"/>
      <c r="I61" s="30"/>
      <c r="J61" s="27"/>
      <c r="K61" s="17"/>
      <c r="L61" s="17"/>
      <c r="M61" s="16" t="str">
        <f t="shared" si="9"/>
        <v>A05 - Dash Firmware</v>
      </c>
    </row>
    <row r="62" ht="22.5" customHeight="1">
      <c r="A62" s="12"/>
      <c r="B62" s="12"/>
      <c r="C62" s="30" t="str">
        <f t="shared" si="10"/>
        <v>Firmware</v>
      </c>
      <c r="D62" s="14"/>
      <c r="E62" s="14"/>
      <c r="F62" s="30"/>
      <c r="G62" s="16"/>
      <c r="H62" s="17"/>
      <c r="I62" s="30"/>
      <c r="J62" s="27"/>
      <c r="K62" s="17"/>
      <c r="L62" s="17"/>
      <c r="M62" s="16" t="str">
        <f t="shared" si="9"/>
        <v>A05 - Dash Firmware</v>
      </c>
    </row>
    <row r="63" ht="1.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</row>
    <row r="64">
      <c r="A64" s="26"/>
    </row>
    <row r="65">
      <c r="A65" s="26"/>
      <c r="B65" s="26"/>
    </row>
    <row r="66" ht="22.5" customHeight="1">
      <c r="A66" s="41" t="s">
        <v>58</v>
      </c>
      <c r="B66" s="41" t="s">
        <v>67</v>
      </c>
      <c r="C66" s="41" t="s">
        <v>0</v>
      </c>
      <c r="D66" s="41" t="s">
        <v>68</v>
      </c>
      <c r="E66" s="41" t="s">
        <v>69</v>
      </c>
      <c r="F66" s="41" t="s">
        <v>60</v>
      </c>
      <c r="G66" s="41" t="s">
        <v>7</v>
      </c>
      <c r="H66" s="41" t="s">
        <v>204</v>
      </c>
      <c r="I66" s="41" t="s">
        <v>72</v>
      </c>
      <c r="J66" s="41" t="s">
        <v>70</v>
      </c>
      <c r="K66" s="41" t="s">
        <v>206</v>
      </c>
      <c r="L66" s="41" t="s">
        <v>62</v>
      </c>
      <c r="M66" s="41" t="s">
        <v>207</v>
      </c>
    </row>
    <row r="67" ht="22.5" customHeight="1">
      <c r="A67" s="12" t="s">
        <v>401</v>
      </c>
      <c r="B67" s="12" t="s">
        <v>402</v>
      </c>
      <c r="C67" s="13" t="s">
        <v>100</v>
      </c>
      <c r="D67" s="14"/>
      <c r="E67" s="14"/>
      <c r="F67" s="30"/>
      <c r="G67" s="16"/>
      <c r="H67" s="28" t="s">
        <v>888</v>
      </c>
      <c r="I67" s="30"/>
      <c r="J67" s="27"/>
      <c r="K67" s="17"/>
      <c r="L67" s="17"/>
      <c r="M67" s="16" t="str">
        <f t="shared" ref="M67:M71" si="11">"A06 - Other Firmware"</f>
        <v>A06 - Other Firmware</v>
      </c>
    </row>
    <row r="68" ht="22.5" customHeight="1">
      <c r="A68" s="12"/>
      <c r="B68" s="12"/>
      <c r="C68" s="30" t="str">
        <f t="shared" ref="C68:C71" si="12">"Firmware"</f>
        <v>Firmware</v>
      </c>
      <c r="D68" s="14"/>
      <c r="E68" s="14"/>
      <c r="F68" s="30"/>
      <c r="G68" s="16"/>
      <c r="H68" s="17"/>
      <c r="I68" s="30"/>
      <c r="J68" s="27"/>
      <c r="K68" s="17"/>
      <c r="L68" s="17"/>
      <c r="M68" s="16" t="str">
        <f t="shared" si="11"/>
        <v>A06 - Other Firmware</v>
      </c>
    </row>
    <row r="69" ht="22.5" customHeight="1">
      <c r="A69" s="12"/>
      <c r="B69" s="12"/>
      <c r="C69" s="30" t="str">
        <f t="shared" si="12"/>
        <v>Firmware</v>
      </c>
      <c r="D69" s="14"/>
      <c r="E69" s="14"/>
      <c r="F69" s="30"/>
      <c r="G69" s="16"/>
      <c r="H69" s="17"/>
      <c r="I69" s="30"/>
      <c r="J69" s="27"/>
      <c r="K69" s="17"/>
      <c r="L69" s="17"/>
      <c r="M69" s="16" t="str">
        <f t="shared" si="11"/>
        <v>A06 - Other Firmware</v>
      </c>
    </row>
    <row r="70" ht="22.5" customHeight="1">
      <c r="A70" s="12"/>
      <c r="B70" s="12"/>
      <c r="C70" s="30" t="str">
        <f t="shared" si="12"/>
        <v>Firmware</v>
      </c>
      <c r="D70" s="14"/>
      <c r="E70" s="14"/>
      <c r="F70" s="30"/>
      <c r="G70" s="16"/>
      <c r="H70" s="17"/>
      <c r="I70" s="30"/>
      <c r="J70" s="27"/>
      <c r="K70" s="17"/>
      <c r="L70" s="17"/>
      <c r="M70" s="16" t="str">
        <f t="shared" si="11"/>
        <v>A06 - Other Firmware</v>
      </c>
    </row>
    <row r="71" ht="22.5" customHeight="1">
      <c r="A71" s="12"/>
      <c r="B71" s="12"/>
      <c r="C71" s="30" t="str">
        <f t="shared" si="12"/>
        <v>Firmware</v>
      </c>
      <c r="D71" s="14"/>
      <c r="E71" s="14"/>
      <c r="F71" s="30"/>
      <c r="G71" s="16"/>
      <c r="H71" s="17"/>
      <c r="I71" s="30"/>
      <c r="J71" s="27"/>
      <c r="K71" s="17"/>
      <c r="L71" s="17"/>
      <c r="M71" s="16" t="str">
        <f t="shared" si="11"/>
        <v>A06 - Other Firmware</v>
      </c>
    </row>
    <row r="72" ht="1.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</row>
    <row r="73">
      <c r="A73" s="26"/>
    </row>
  </sheetData>
  <mergeCells count="12">
    <mergeCell ref="A51:M51"/>
    <mergeCell ref="B52:M52"/>
    <mergeCell ref="A64:M64"/>
    <mergeCell ref="B65:M65"/>
    <mergeCell ref="A73:M73"/>
    <mergeCell ref="B1:M1"/>
    <mergeCell ref="A9:M9"/>
    <mergeCell ref="B10:M10"/>
    <mergeCell ref="A21:M21"/>
    <mergeCell ref="B22:M22"/>
    <mergeCell ref="A31:M31"/>
    <mergeCell ref="B32:M32"/>
  </mergeCells>
  <dataValidations>
    <dataValidation type="list" allowBlank="1" sqref="J3:J7 J12:J19 J24:J29 J34:J49 J54:J62 J67:J71">
      <formula1>#REF!</formula1>
    </dataValidation>
    <dataValidation type="list" allowBlank="1" sqref="F3:F7 F12:F19 F24:F29 F34:F49 F54:F62 F67:F71">
      <formula1>#REF!</formula1>
    </dataValidation>
    <dataValidation type="custom" allowBlank="1" showDropDown="1" sqref="D3:E7 D12:E19 D24:E29 D34:E49 D54:E62 D67:E71">
      <formula1>OR(NOT(ISERROR(DATEVALUE(D3))), AND(ISNUMBER(D3), LEFT(CELL("format", D3))="D"))</formula1>
    </dataValidation>
    <dataValidation type="list" allowBlank="1" sqref="I3:I7 I12:I19 I24:I29 I34:I49 I54:I62 I67:I71">
      <formula1>#REF!</formula1>
    </dataValidation>
    <dataValidation allowBlank="1" showDropDown="1" sqref="B3:B7 K3:L7 B12:B19 K12:L19 B24:B29 K24:L29 B34:B49 K34:L49 B54:B62 K54:L62 B67:B71 K67:L71"/>
    <dataValidation allowBlank="1" showDropDown="1" sqref="A3:A7 A12:A19 A24:A29 A34:A49 A54:A62 A67:A71"/>
    <dataValidation type="list" allowBlank="1" sqref="G3:G7 M3:M7 G12:G19 M12:M19 G24:G29 M24:M29 G34:G49 M34:M49 G54:G62 M54:M62 G67:G71 M67:M71">
      <formula1>#REF!</formula1>
    </dataValidation>
    <dataValidation type="list" allowBlank="1" sqref="C3:C7 C12:C19 C24:C29 C34:C49 C54:C62 C67:C71">
      <formula1>#REF!</formula1>
    </dataValidation>
  </dataValidations>
  <hyperlinks>
    <hyperlink r:id="rId1" ref="H3"/>
    <hyperlink r:id="rId2" ref="H12"/>
    <hyperlink r:id="rId3" ref="H13"/>
    <hyperlink r:id="rId4" ref="H14"/>
    <hyperlink r:id="rId5" ref="H15"/>
    <hyperlink r:id="rId6" ref="H16"/>
    <hyperlink r:id="rId7" ref="H17"/>
    <hyperlink r:id="rId8" ref="H24"/>
    <hyperlink r:id="rId9" ref="H25"/>
    <hyperlink r:id="rId10" ref="H26"/>
    <hyperlink r:id="rId11" ref="H34"/>
    <hyperlink r:id="rId12" ref="H35"/>
    <hyperlink r:id="rId13" ref="H36"/>
    <hyperlink r:id="rId14" ref="H37"/>
    <hyperlink r:id="rId15" ref="H38"/>
    <hyperlink r:id="rId16" ref="H39"/>
    <hyperlink r:id="rId17" ref="H40"/>
    <hyperlink r:id="rId18" ref="H41"/>
    <hyperlink r:id="rId19" ref="H42"/>
    <hyperlink r:id="rId20" ref="H44"/>
    <hyperlink r:id="rId21" ref="H45"/>
    <hyperlink r:id="rId22" ref="H54"/>
    <hyperlink r:id="rId23" ref="H55"/>
    <hyperlink r:id="rId24" ref="H56"/>
    <hyperlink r:id="rId25" ref="H57"/>
    <hyperlink r:id="rId26" ref="H58"/>
    <hyperlink r:id="rId27" ref="H59"/>
    <hyperlink r:id="rId28" ref="H67"/>
  </hyperlinks>
  <drawing r:id="rId29"/>
  <tableParts count="6">
    <tablePart r:id="rId36"/>
    <tablePart r:id="rId37"/>
    <tablePart r:id="rId38"/>
    <tablePart r:id="rId39"/>
    <tablePart r:id="rId40"/>
    <tablePart r:id="rId4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8B6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7.0"/>
    <col customWidth="1" hidden="1" min="3" max="3" width="16.38"/>
    <col customWidth="1" min="4" max="5" width="13.88"/>
    <col customWidth="1" min="6" max="6" width="14.38"/>
    <col customWidth="1" min="7" max="7" width="17.0"/>
    <col customWidth="1" min="8" max="8" width="17.63"/>
    <col customWidth="1" min="9" max="9" width="14.0"/>
    <col customWidth="1" min="10" max="10" width="19.5"/>
    <col customWidth="1" min="11" max="12" width="25.13"/>
    <col customWidth="1" hidden="1" min="13" max="13" width="25.13"/>
  </cols>
  <sheetData>
    <row r="1">
      <c r="A1" s="26"/>
      <c r="B1" s="26"/>
    </row>
    <row r="2" ht="22.5" customHeight="1">
      <c r="A2" s="4" t="s">
        <v>58</v>
      </c>
      <c r="B2" s="4" t="s">
        <v>67</v>
      </c>
      <c r="C2" s="4" t="s">
        <v>0</v>
      </c>
      <c r="D2" s="4" t="s">
        <v>68</v>
      </c>
      <c r="E2" s="4" t="s">
        <v>69</v>
      </c>
      <c r="F2" s="4" t="s">
        <v>60</v>
      </c>
      <c r="G2" s="4" t="s">
        <v>7</v>
      </c>
      <c r="H2" s="4" t="s">
        <v>204</v>
      </c>
      <c r="I2" s="4" t="s">
        <v>72</v>
      </c>
      <c r="J2" s="4" t="s">
        <v>70</v>
      </c>
      <c r="K2" s="4" t="s">
        <v>206</v>
      </c>
      <c r="L2" s="4" t="s">
        <v>62</v>
      </c>
      <c r="M2" s="4" t="s">
        <v>207</v>
      </c>
    </row>
    <row r="3" ht="22.5" customHeight="1">
      <c r="A3" s="12"/>
      <c r="B3" s="12"/>
      <c r="C3" s="30" t="str">
        <f t="shared" ref="C3:C7" si="1">"Autonomy"</f>
        <v>Autonomy</v>
      </c>
      <c r="D3" s="14"/>
      <c r="E3" s="14"/>
      <c r="F3" s="30"/>
      <c r="G3" s="16"/>
      <c r="H3" s="17"/>
      <c r="I3" s="30"/>
      <c r="J3" s="27"/>
      <c r="K3" s="17"/>
      <c r="L3" s="17"/>
      <c r="M3" s="16" t="str">
        <f t="shared" ref="M3:M7" si="2">"A01 - Autonomy"</f>
        <v>A01 - Autonomy</v>
      </c>
    </row>
    <row r="4" ht="22.5" customHeight="1">
      <c r="A4" s="12"/>
      <c r="B4" s="12"/>
      <c r="C4" s="30" t="str">
        <f t="shared" si="1"/>
        <v>Autonomy</v>
      </c>
      <c r="D4" s="14"/>
      <c r="E4" s="14"/>
      <c r="F4" s="30"/>
      <c r="G4" s="16"/>
      <c r="H4" s="17"/>
      <c r="I4" s="30"/>
      <c r="J4" s="27"/>
      <c r="K4" s="17"/>
      <c r="L4" s="17"/>
      <c r="M4" s="16" t="str">
        <f t="shared" si="2"/>
        <v>A01 - Autonomy</v>
      </c>
    </row>
    <row r="5" ht="22.5" customHeight="1">
      <c r="A5" s="12"/>
      <c r="B5" s="12"/>
      <c r="C5" s="30" t="str">
        <f t="shared" si="1"/>
        <v>Autonomy</v>
      </c>
      <c r="D5" s="14"/>
      <c r="E5" s="14"/>
      <c r="F5" s="30"/>
      <c r="G5" s="16"/>
      <c r="H5" s="17"/>
      <c r="I5" s="30"/>
      <c r="J5" s="27"/>
      <c r="K5" s="17"/>
      <c r="L5" s="17"/>
      <c r="M5" s="16" t="str">
        <f t="shared" si="2"/>
        <v>A01 - Autonomy</v>
      </c>
    </row>
    <row r="6" ht="22.5" customHeight="1">
      <c r="A6" s="12"/>
      <c r="B6" s="12"/>
      <c r="C6" s="30" t="str">
        <f t="shared" si="1"/>
        <v>Autonomy</v>
      </c>
      <c r="D6" s="14"/>
      <c r="E6" s="14"/>
      <c r="F6" s="30"/>
      <c r="G6" s="16"/>
      <c r="H6" s="17"/>
      <c r="I6" s="30"/>
      <c r="J6" s="27"/>
      <c r="K6" s="17"/>
      <c r="L6" s="17"/>
      <c r="M6" s="16" t="str">
        <f t="shared" si="2"/>
        <v>A01 - Autonomy</v>
      </c>
    </row>
    <row r="7" ht="22.5" customHeight="1">
      <c r="A7" s="12"/>
      <c r="B7" s="12"/>
      <c r="C7" s="30" t="str">
        <f t="shared" si="1"/>
        <v>Autonomy</v>
      </c>
      <c r="D7" s="14"/>
      <c r="E7" s="14"/>
      <c r="F7" s="30"/>
      <c r="G7" s="16"/>
      <c r="H7" s="17"/>
      <c r="I7" s="30"/>
      <c r="J7" s="27"/>
      <c r="K7" s="17"/>
      <c r="L7" s="17"/>
      <c r="M7" s="16" t="str">
        <f t="shared" si="2"/>
        <v>A01 - Autonomy</v>
      </c>
    </row>
    <row r="8" ht="1.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>
      <c r="A9" s="26"/>
    </row>
    <row r="10">
      <c r="A10" s="26"/>
      <c r="B10" s="26"/>
    </row>
    <row r="11" ht="22.5" customHeight="1">
      <c r="A11" s="4" t="s">
        <v>58</v>
      </c>
      <c r="B11" s="4" t="s">
        <v>67</v>
      </c>
      <c r="C11" s="4" t="s">
        <v>0</v>
      </c>
      <c r="D11" s="4" t="s">
        <v>68</v>
      </c>
      <c r="E11" s="4" t="s">
        <v>69</v>
      </c>
      <c r="F11" s="4" t="s">
        <v>60</v>
      </c>
      <c r="G11" s="4" t="s">
        <v>7</v>
      </c>
      <c r="H11" s="4" t="s">
        <v>204</v>
      </c>
      <c r="I11" s="4" t="s">
        <v>72</v>
      </c>
      <c r="J11" s="4" t="s">
        <v>70</v>
      </c>
      <c r="K11" s="4" t="s">
        <v>206</v>
      </c>
      <c r="L11" s="4" t="s">
        <v>62</v>
      </c>
      <c r="M11" s="4" t="s">
        <v>207</v>
      </c>
    </row>
    <row r="12" ht="22.5" customHeight="1">
      <c r="A12" s="12" t="s">
        <v>403</v>
      </c>
      <c r="B12" s="12" t="s">
        <v>405</v>
      </c>
      <c r="C12" s="13" t="s">
        <v>103</v>
      </c>
      <c r="D12" s="14"/>
      <c r="E12" s="15">
        <v>46274.0</v>
      </c>
      <c r="F12" s="13" t="s">
        <v>75</v>
      </c>
      <c r="G12" s="13" t="s">
        <v>776</v>
      </c>
      <c r="H12" s="28" t="s">
        <v>894</v>
      </c>
      <c r="I12" s="13" t="s">
        <v>76</v>
      </c>
      <c r="J12" s="27"/>
      <c r="K12" s="17"/>
      <c r="L12" s="17"/>
      <c r="M12" s="16" t="str">
        <f t="shared" ref="M12:M18" si="3">"A02 - Autonomy Mechanical"</f>
        <v>A02 - Autonomy Mechanical</v>
      </c>
    </row>
    <row r="13" ht="22.5" customHeight="1">
      <c r="A13" s="12" t="s">
        <v>406</v>
      </c>
      <c r="B13" s="12" t="s">
        <v>407</v>
      </c>
      <c r="C13" s="13" t="s">
        <v>103</v>
      </c>
      <c r="D13" s="14"/>
      <c r="E13" s="14"/>
      <c r="F13" s="13" t="s">
        <v>75</v>
      </c>
      <c r="G13" s="16"/>
      <c r="H13" s="28" t="s">
        <v>894</v>
      </c>
      <c r="I13" s="13" t="s">
        <v>91</v>
      </c>
      <c r="J13" s="27"/>
      <c r="K13" s="17"/>
      <c r="L13" s="17"/>
      <c r="M13" s="16" t="str">
        <f t="shared" si="3"/>
        <v>A02 - Autonomy Mechanical</v>
      </c>
    </row>
    <row r="14" ht="22.5" customHeight="1">
      <c r="A14" s="12" t="s">
        <v>408</v>
      </c>
      <c r="B14" s="12" t="s">
        <v>409</v>
      </c>
      <c r="C14" s="13" t="s">
        <v>103</v>
      </c>
      <c r="D14" s="14"/>
      <c r="E14" s="14"/>
      <c r="F14" s="13" t="s">
        <v>75</v>
      </c>
      <c r="G14" s="13" t="s">
        <v>780</v>
      </c>
      <c r="H14" s="28" t="s">
        <v>894</v>
      </c>
      <c r="I14" s="13" t="s">
        <v>76</v>
      </c>
      <c r="J14" s="27"/>
      <c r="K14" s="17"/>
      <c r="L14" s="17"/>
      <c r="M14" s="16" t="str">
        <f t="shared" si="3"/>
        <v>A02 - Autonomy Mechanical</v>
      </c>
    </row>
    <row r="15" ht="22.5" customHeight="1">
      <c r="A15" s="12" t="s">
        <v>410</v>
      </c>
      <c r="B15" s="12" t="s">
        <v>411</v>
      </c>
      <c r="C15" s="30" t="str">
        <f t="shared" ref="C15:C18" si="4">"Autonomy"</f>
        <v>Autonomy</v>
      </c>
      <c r="D15" s="14"/>
      <c r="E15" s="14"/>
      <c r="F15" s="13" t="s">
        <v>75</v>
      </c>
      <c r="G15" s="13" t="s">
        <v>776</v>
      </c>
      <c r="H15" s="28" t="s">
        <v>894</v>
      </c>
      <c r="I15" s="13" t="s">
        <v>81</v>
      </c>
      <c r="J15" s="27"/>
      <c r="K15" s="17"/>
      <c r="L15" s="17"/>
      <c r="M15" s="16" t="str">
        <f t="shared" si="3"/>
        <v>A02 - Autonomy Mechanical</v>
      </c>
    </row>
    <row r="16" ht="22.5" customHeight="1">
      <c r="A16" s="12" t="s">
        <v>412</v>
      </c>
      <c r="B16" s="12"/>
      <c r="C16" s="30" t="str">
        <f t="shared" si="4"/>
        <v>Autonomy</v>
      </c>
      <c r="D16" s="14"/>
      <c r="E16" s="14"/>
      <c r="F16" s="13"/>
      <c r="G16" s="16"/>
      <c r="H16" s="12"/>
      <c r="I16" s="13"/>
      <c r="J16" s="27"/>
      <c r="K16" s="17"/>
      <c r="L16" s="17"/>
      <c r="M16" s="16" t="str">
        <f t="shared" si="3"/>
        <v>A02 - Autonomy Mechanical</v>
      </c>
    </row>
    <row r="17" ht="22.5" customHeight="1">
      <c r="A17" s="12"/>
      <c r="B17" s="12"/>
      <c r="C17" s="30" t="str">
        <f t="shared" si="4"/>
        <v>Autonomy</v>
      </c>
      <c r="D17" s="14"/>
      <c r="E17" s="14"/>
      <c r="F17" s="30"/>
      <c r="G17" s="16"/>
      <c r="H17" s="17"/>
      <c r="I17" s="30"/>
      <c r="J17" s="27"/>
      <c r="K17" s="17"/>
      <c r="L17" s="17"/>
      <c r="M17" s="16" t="str">
        <f t="shared" si="3"/>
        <v>A02 - Autonomy Mechanical</v>
      </c>
    </row>
    <row r="18" ht="22.5" customHeight="1">
      <c r="A18" s="12"/>
      <c r="B18" s="12"/>
      <c r="C18" s="30" t="str">
        <f t="shared" si="4"/>
        <v>Autonomy</v>
      </c>
      <c r="D18" s="14"/>
      <c r="E18" s="14"/>
      <c r="F18" s="30"/>
      <c r="G18" s="16"/>
      <c r="H18" s="17"/>
      <c r="I18" s="30"/>
      <c r="J18" s="27"/>
      <c r="K18" s="17"/>
      <c r="L18" s="17"/>
      <c r="M18" s="16" t="str">
        <f t="shared" si="3"/>
        <v>A02 - Autonomy Mechanical</v>
      </c>
    </row>
    <row r="19" ht="22.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0" ht="1.5" customHeight="1">
      <c r="A20" s="47"/>
      <c r="B20" s="47"/>
      <c r="C20" s="48" t="str">
        <f>"Autonomy"</f>
        <v>Autonomy</v>
      </c>
      <c r="D20" s="49"/>
      <c r="E20" s="49"/>
      <c r="F20" s="48"/>
      <c r="G20" s="50"/>
      <c r="H20" s="51"/>
      <c r="I20" s="48"/>
      <c r="J20" s="50"/>
      <c r="K20" s="51"/>
      <c r="L20" s="51"/>
      <c r="M20" s="50" t="str">
        <f>"A02 - Autonomy Mechanical"</f>
        <v>A02 - Autonomy Mechanical</v>
      </c>
    </row>
    <row r="21">
      <c r="A21" s="26"/>
    </row>
    <row r="22">
      <c r="A22" s="26"/>
      <c r="B22" s="26"/>
    </row>
    <row r="23" ht="22.5" customHeight="1">
      <c r="A23" s="4" t="s">
        <v>58</v>
      </c>
      <c r="B23" s="4" t="s">
        <v>67</v>
      </c>
      <c r="C23" s="4" t="s">
        <v>0</v>
      </c>
      <c r="D23" s="4" t="s">
        <v>68</v>
      </c>
      <c r="E23" s="4" t="s">
        <v>69</v>
      </c>
      <c r="F23" s="4" t="s">
        <v>60</v>
      </c>
      <c r="G23" s="4" t="s">
        <v>7</v>
      </c>
      <c r="H23" s="4" t="s">
        <v>204</v>
      </c>
      <c r="I23" s="4" t="s">
        <v>72</v>
      </c>
      <c r="J23" s="4" t="s">
        <v>70</v>
      </c>
      <c r="K23" s="4" t="s">
        <v>206</v>
      </c>
      <c r="L23" s="4" t="s">
        <v>62</v>
      </c>
      <c r="M23" s="4" t="s">
        <v>207</v>
      </c>
    </row>
    <row r="24" ht="22.5" customHeight="1">
      <c r="A24" s="12" t="s">
        <v>413</v>
      </c>
      <c r="B24" s="12" t="s">
        <v>414</v>
      </c>
      <c r="C24" s="13" t="s">
        <v>103</v>
      </c>
      <c r="D24" s="14"/>
      <c r="E24" s="14"/>
      <c r="F24" s="13" t="s">
        <v>75</v>
      </c>
      <c r="G24" s="16"/>
      <c r="H24" s="28" t="s">
        <v>914</v>
      </c>
      <c r="I24" s="13" t="s">
        <v>91</v>
      </c>
      <c r="J24" s="27"/>
      <c r="K24" s="17"/>
      <c r="L24" s="12" t="s">
        <v>915</v>
      </c>
      <c r="M24" s="16" t="str">
        <f t="shared" ref="M24:M29" si="5">"A03 - Path Planning and Following"</f>
        <v>A03 - Path Planning and Following</v>
      </c>
    </row>
    <row r="25" ht="22.5" customHeight="1">
      <c r="A25" s="12" t="s">
        <v>415</v>
      </c>
      <c r="B25" s="12" t="s">
        <v>416</v>
      </c>
      <c r="C25" s="13" t="s">
        <v>103</v>
      </c>
      <c r="D25" s="14"/>
      <c r="E25" s="14"/>
      <c r="F25" s="13" t="s">
        <v>75</v>
      </c>
      <c r="G25" s="13" t="s">
        <v>780</v>
      </c>
      <c r="H25" s="28" t="s">
        <v>914</v>
      </c>
      <c r="I25" s="13" t="s">
        <v>81</v>
      </c>
      <c r="J25" s="29" t="s">
        <v>408</v>
      </c>
      <c r="K25" s="17"/>
      <c r="L25" s="17"/>
      <c r="M25" s="16" t="str">
        <f t="shared" si="5"/>
        <v>A03 - Path Planning and Following</v>
      </c>
    </row>
    <row r="26" ht="22.5" customHeight="1">
      <c r="A26" s="31" t="s">
        <v>417</v>
      </c>
      <c r="B26" s="31" t="s">
        <v>418</v>
      </c>
      <c r="C26" s="32" t="s">
        <v>103</v>
      </c>
      <c r="D26" s="52"/>
      <c r="E26" s="33">
        <v>46229.0</v>
      </c>
      <c r="F26" s="32" t="s">
        <v>95</v>
      </c>
      <c r="G26" s="32" t="s">
        <v>825</v>
      </c>
      <c r="H26" s="35" t="s">
        <v>894</v>
      </c>
      <c r="I26" s="32" t="s">
        <v>76</v>
      </c>
      <c r="J26" s="36"/>
      <c r="K26" s="37"/>
      <c r="L26" s="37"/>
      <c r="M26" s="34" t="str">
        <f t="shared" si="5"/>
        <v>A03 - Path Planning and Following</v>
      </c>
    </row>
    <row r="27" ht="22.5" customHeight="1">
      <c r="A27" s="12" t="s">
        <v>419</v>
      </c>
      <c r="B27" s="12" t="s">
        <v>420</v>
      </c>
      <c r="C27" s="30" t="str">
        <f t="shared" ref="C27:C29" si="6">"Autonomy"</f>
        <v>Autonomy</v>
      </c>
      <c r="D27" s="14"/>
      <c r="E27" s="15">
        <v>46327.0</v>
      </c>
      <c r="F27" s="13" t="s">
        <v>75</v>
      </c>
      <c r="G27" s="13" t="s">
        <v>780</v>
      </c>
      <c r="H27" s="28" t="s">
        <v>914</v>
      </c>
      <c r="I27" s="13" t="s">
        <v>76</v>
      </c>
      <c r="J27" s="27"/>
      <c r="K27" s="17"/>
      <c r="L27" s="17"/>
      <c r="M27" s="16" t="str">
        <f t="shared" si="5"/>
        <v>A03 - Path Planning and Following</v>
      </c>
    </row>
    <row r="28" ht="22.5" customHeight="1">
      <c r="A28" s="12"/>
      <c r="B28" s="12"/>
      <c r="C28" s="30" t="str">
        <f t="shared" si="6"/>
        <v>Autonomy</v>
      </c>
      <c r="D28" s="14"/>
      <c r="E28" s="14"/>
      <c r="F28" s="30"/>
      <c r="G28" s="16"/>
      <c r="H28" s="17"/>
      <c r="I28" s="30"/>
      <c r="J28" s="27"/>
      <c r="K28" s="17"/>
      <c r="L28" s="17"/>
      <c r="M28" s="16" t="str">
        <f t="shared" si="5"/>
        <v>A03 - Path Planning and Following</v>
      </c>
    </row>
    <row r="29" ht="22.5" customHeight="1">
      <c r="A29" s="12"/>
      <c r="B29" s="12"/>
      <c r="C29" s="30" t="str">
        <f t="shared" si="6"/>
        <v>Autonomy</v>
      </c>
      <c r="D29" s="14"/>
      <c r="E29" s="14"/>
      <c r="F29" s="30"/>
      <c r="G29" s="16"/>
      <c r="H29" s="17"/>
      <c r="I29" s="30"/>
      <c r="J29" s="27"/>
      <c r="K29" s="17"/>
      <c r="L29" s="17"/>
      <c r="M29" s="16" t="str">
        <f t="shared" si="5"/>
        <v>A03 - Path Planning and Following</v>
      </c>
    </row>
    <row r="30" ht="1.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</row>
    <row r="31">
      <c r="A31" s="26"/>
    </row>
    <row r="32">
      <c r="A32" s="26"/>
      <c r="B32" s="26"/>
    </row>
    <row r="33" ht="22.5" customHeight="1">
      <c r="A33" s="4" t="s">
        <v>58</v>
      </c>
      <c r="B33" s="4" t="s">
        <v>67</v>
      </c>
      <c r="C33" s="4" t="s">
        <v>0</v>
      </c>
      <c r="D33" s="4" t="s">
        <v>68</v>
      </c>
      <c r="E33" s="4" t="s">
        <v>69</v>
      </c>
      <c r="F33" s="4" t="s">
        <v>60</v>
      </c>
      <c r="G33" s="4" t="s">
        <v>7</v>
      </c>
      <c r="H33" s="4" t="s">
        <v>204</v>
      </c>
      <c r="I33" s="4" t="s">
        <v>72</v>
      </c>
      <c r="J33" s="4" t="s">
        <v>70</v>
      </c>
      <c r="K33" s="4" t="s">
        <v>206</v>
      </c>
      <c r="L33" s="4" t="s">
        <v>62</v>
      </c>
      <c r="M33" s="4" t="s">
        <v>207</v>
      </c>
    </row>
    <row r="34" ht="22.5" customHeight="1">
      <c r="A34" s="31" t="s">
        <v>421</v>
      </c>
      <c r="B34" s="31" t="s">
        <v>422</v>
      </c>
      <c r="C34" s="32" t="s">
        <v>103</v>
      </c>
      <c r="D34" s="52"/>
      <c r="E34" s="52"/>
      <c r="F34" s="32" t="s">
        <v>95</v>
      </c>
      <c r="G34" s="32" t="s">
        <v>825</v>
      </c>
      <c r="H34" s="35" t="s">
        <v>894</v>
      </c>
      <c r="I34" s="32" t="s">
        <v>76</v>
      </c>
      <c r="J34" s="36"/>
      <c r="K34" s="37"/>
      <c r="L34" s="37"/>
      <c r="M34" s="34" t="str">
        <f t="shared" ref="M34:M38" si="7">"A04 - Sensors and Harnessing"</f>
        <v>A04 - Sensors and Harnessing</v>
      </c>
    </row>
    <row r="35" ht="22.5" customHeight="1">
      <c r="A35" s="31" t="s">
        <v>423</v>
      </c>
      <c r="B35" s="31" t="s">
        <v>424</v>
      </c>
      <c r="C35" s="32" t="s">
        <v>103</v>
      </c>
      <c r="D35" s="52"/>
      <c r="E35" s="52"/>
      <c r="F35" s="32" t="s">
        <v>95</v>
      </c>
      <c r="G35" s="32" t="s">
        <v>825</v>
      </c>
      <c r="H35" s="35" t="s">
        <v>894</v>
      </c>
      <c r="I35" s="32" t="s">
        <v>76</v>
      </c>
      <c r="J35" s="36"/>
      <c r="K35" s="37"/>
      <c r="L35" s="37"/>
      <c r="M35" s="34" t="str">
        <f t="shared" si="7"/>
        <v>A04 - Sensors and Harnessing</v>
      </c>
    </row>
    <row r="36" ht="22.5" customHeight="1">
      <c r="A36" s="12"/>
      <c r="B36" s="12"/>
      <c r="C36" s="30" t="str">
        <f t="shared" ref="C36:C38" si="8">"Autonomy"</f>
        <v>Autonomy</v>
      </c>
      <c r="D36" s="14"/>
      <c r="E36" s="14"/>
      <c r="F36" s="30"/>
      <c r="G36" s="16"/>
      <c r="H36" s="17"/>
      <c r="I36" s="30"/>
      <c r="J36" s="27"/>
      <c r="K36" s="17"/>
      <c r="L36" s="17"/>
      <c r="M36" s="16" t="str">
        <f t="shared" si="7"/>
        <v>A04 - Sensors and Harnessing</v>
      </c>
    </row>
    <row r="37" ht="22.5" customHeight="1">
      <c r="A37" s="12"/>
      <c r="B37" s="12"/>
      <c r="C37" s="30" t="str">
        <f t="shared" si="8"/>
        <v>Autonomy</v>
      </c>
      <c r="D37" s="14"/>
      <c r="E37" s="14"/>
      <c r="F37" s="30"/>
      <c r="G37" s="16"/>
      <c r="H37" s="17"/>
      <c r="I37" s="30"/>
      <c r="J37" s="27"/>
      <c r="K37" s="17"/>
      <c r="L37" s="17"/>
      <c r="M37" s="16" t="str">
        <f t="shared" si="7"/>
        <v>A04 - Sensors and Harnessing</v>
      </c>
    </row>
    <row r="38" ht="22.5" customHeight="1">
      <c r="A38" s="12"/>
      <c r="B38" s="12"/>
      <c r="C38" s="30" t="str">
        <f t="shared" si="8"/>
        <v>Autonomy</v>
      </c>
      <c r="D38" s="14"/>
      <c r="E38" s="14"/>
      <c r="F38" s="30"/>
      <c r="G38" s="16"/>
      <c r="H38" s="17"/>
      <c r="I38" s="30"/>
      <c r="J38" s="27"/>
      <c r="K38" s="17"/>
      <c r="L38" s="17"/>
      <c r="M38" s="16" t="str">
        <f t="shared" si="7"/>
        <v>A04 - Sensors and Harnessing</v>
      </c>
    </row>
    <row r="39" ht="1.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>
      <c r="A40" s="26"/>
    </row>
    <row r="41">
      <c r="A41" s="26"/>
      <c r="B41" s="26"/>
    </row>
    <row r="42" ht="22.5" customHeight="1">
      <c r="A42" s="4" t="s">
        <v>58</v>
      </c>
      <c r="B42" s="4" t="s">
        <v>67</v>
      </c>
      <c r="C42" s="4" t="s">
        <v>0</v>
      </c>
      <c r="D42" s="4" t="s">
        <v>68</v>
      </c>
      <c r="E42" s="4" t="s">
        <v>69</v>
      </c>
      <c r="F42" s="4" t="s">
        <v>60</v>
      </c>
      <c r="G42" s="4" t="s">
        <v>7</v>
      </c>
      <c r="H42" s="4" t="s">
        <v>204</v>
      </c>
      <c r="I42" s="4" t="s">
        <v>72</v>
      </c>
      <c r="J42" s="4" t="s">
        <v>70</v>
      </c>
      <c r="K42" s="4" t="s">
        <v>206</v>
      </c>
      <c r="L42" s="4" t="s">
        <v>62</v>
      </c>
      <c r="M42" s="4" t="s">
        <v>207</v>
      </c>
    </row>
    <row r="43" ht="22.5" customHeight="1">
      <c r="A43" s="31" t="s">
        <v>425</v>
      </c>
      <c r="B43" s="31" t="s">
        <v>426</v>
      </c>
      <c r="C43" s="32" t="s">
        <v>103</v>
      </c>
      <c r="D43" s="52"/>
      <c r="E43" s="33">
        <v>46265.0</v>
      </c>
      <c r="F43" s="32" t="s">
        <v>95</v>
      </c>
      <c r="G43" s="32" t="s">
        <v>825</v>
      </c>
      <c r="H43" s="35" t="s">
        <v>926</v>
      </c>
      <c r="I43" s="32" t="s">
        <v>76</v>
      </c>
      <c r="J43" s="36"/>
      <c r="K43" s="37"/>
      <c r="L43" s="37"/>
      <c r="M43" s="34" t="str">
        <f t="shared" ref="M43:M49" si="9">"A05 - Compute and Hardware"</f>
        <v>A05 - Compute and Hardware</v>
      </c>
    </row>
    <row r="44" ht="22.5" customHeight="1">
      <c r="A44" s="31" t="s">
        <v>427</v>
      </c>
      <c r="B44" s="31" t="s">
        <v>428</v>
      </c>
      <c r="C44" s="32" t="s">
        <v>103</v>
      </c>
      <c r="D44" s="52"/>
      <c r="E44" s="33">
        <v>46262.0</v>
      </c>
      <c r="F44" s="32" t="s">
        <v>95</v>
      </c>
      <c r="G44" s="32" t="s">
        <v>780</v>
      </c>
      <c r="H44" s="35" t="s">
        <v>926</v>
      </c>
      <c r="I44" s="32" t="s">
        <v>81</v>
      </c>
      <c r="J44" s="36"/>
      <c r="K44" s="37"/>
      <c r="L44" s="37"/>
      <c r="M44" s="34" t="str">
        <f t="shared" si="9"/>
        <v>A05 - Compute and Hardware</v>
      </c>
    </row>
    <row r="45" ht="22.5" customHeight="1">
      <c r="A45" s="12" t="s">
        <v>429</v>
      </c>
      <c r="B45" s="12" t="s">
        <v>430</v>
      </c>
      <c r="C45" s="30" t="str">
        <f t="shared" ref="C45:C49" si="10">"Autonomy"</f>
        <v>Autonomy</v>
      </c>
      <c r="D45" s="14"/>
      <c r="E45" s="15">
        <v>46283.0</v>
      </c>
      <c r="F45" s="13" t="s">
        <v>75</v>
      </c>
      <c r="G45" s="13" t="s">
        <v>780</v>
      </c>
      <c r="H45" s="28" t="s">
        <v>926</v>
      </c>
      <c r="I45" s="13" t="s">
        <v>86</v>
      </c>
      <c r="J45" s="27"/>
      <c r="K45" s="17"/>
      <c r="L45" s="17"/>
      <c r="M45" s="16" t="str">
        <f t="shared" si="9"/>
        <v>A05 - Compute and Hardware</v>
      </c>
    </row>
    <row r="46" ht="22.5" customHeight="1">
      <c r="A46" s="12" t="s">
        <v>432</v>
      </c>
      <c r="B46" s="12" t="s">
        <v>433</v>
      </c>
      <c r="C46" s="30" t="str">
        <f t="shared" si="10"/>
        <v>Autonomy</v>
      </c>
      <c r="D46" s="14"/>
      <c r="E46" s="15">
        <v>46304.0</v>
      </c>
      <c r="F46" s="13" t="s">
        <v>75</v>
      </c>
      <c r="G46" s="13" t="s">
        <v>780</v>
      </c>
      <c r="H46" s="28" t="s">
        <v>926</v>
      </c>
      <c r="I46" s="13" t="s">
        <v>86</v>
      </c>
      <c r="J46" s="29" t="s">
        <v>429</v>
      </c>
      <c r="K46" s="17"/>
      <c r="L46" s="17"/>
      <c r="M46" s="16" t="str">
        <f t="shared" si="9"/>
        <v>A05 - Compute and Hardware</v>
      </c>
    </row>
    <row r="47" ht="22.5" customHeight="1">
      <c r="A47" s="12" t="s">
        <v>434</v>
      </c>
      <c r="B47" s="12" t="s">
        <v>435</v>
      </c>
      <c r="C47" s="30" t="str">
        <f t="shared" si="10"/>
        <v>Autonomy</v>
      </c>
      <c r="D47" s="14"/>
      <c r="E47" s="15">
        <v>46272.0</v>
      </c>
      <c r="F47" s="13" t="s">
        <v>75</v>
      </c>
      <c r="G47" s="13" t="s">
        <v>825</v>
      </c>
      <c r="H47" s="28" t="s">
        <v>926</v>
      </c>
      <c r="I47" s="13" t="s">
        <v>76</v>
      </c>
      <c r="J47" s="29" t="s">
        <v>425</v>
      </c>
      <c r="K47" s="17"/>
      <c r="L47" s="17"/>
      <c r="M47" s="16" t="str">
        <f t="shared" si="9"/>
        <v>A05 - Compute and Hardware</v>
      </c>
    </row>
    <row r="48" ht="22.5" customHeight="1">
      <c r="A48" s="12"/>
      <c r="B48" s="12"/>
      <c r="C48" s="30" t="str">
        <f t="shared" si="10"/>
        <v>Autonomy</v>
      </c>
      <c r="D48" s="14"/>
      <c r="E48" s="14"/>
      <c r="F48" s="30"/>
      <c r="G48" s="16"/>
      <c r="H48" s="17"/>
      <c r="I48" s="30"/>
      <c r="J48" s="27"/>
      <c r="K48" s="17"/>
      <c r="L48" s="17"/>
      <c r="M48" s="16" t="str">
        <f t="shared" si="9"/>
        <v>A05 - Compute and Hardware</v>
      </c>
    </row>
    <row r="49" ht="22.5" customHeight="1">
      <c r="A49" s="12"/>
      <c r="B49" s="12"/>
      <c r="C49" s="30" t="str">
        <f t="shared" si="10"/>
        <v>Autonomy</v>
      </c>
      <c r="D49" s="14"/>
      <c r="E49" s="14"/>
      <c r="F49" s="30"/>
      <c r="G49" s="16"/>
      <c r="H49" s="17"/>
      <c r="I49" s="30"/>
      <c r="J49" s="27"/>
      <c r="K49" s="17"/>
      <c r="L49" s="17"/>
      <c r="M49" s="16" t="str">
        <f t="shared" si="9"/>
        <v>A05 - Compute and Hardware</v>
      </c>
    </row>
    <row r="50" ht="1.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</row>
    <row r="51">
      <c r="A51" s="26"/>
    </row>
    <row r="52">
      <c r="A52" s="26"/>
      <c r="B52" s="26"/>
    </row>
    <row r="53" ht="22.5" customHeight="1">
      <c r="A53" s="4" t="s">
        <v>58</v>
      </c>
      <c r="B53" s="4" t="s">
        <v>67</v>
      </c>
      <c r="C53" s="4" t="s">
        <v>0</v>
      </c>
      <c r="D53" s="4" t="s">
        <v>68</v>
      </c>
      <c r="E53" s="4" t="s">
        <v>69</v>
      </c>
      <c r="F53" s="4" t="s">
        <v>60</v>
      </c>
      <c r="G53" s="4" t="s">
        <v>7</v>
      </c>
      <c r="H53" s="4" t="s">
        <v>204</v>
      </c>
      <c r="I53" s="4" t="s">
        <v>72</v>
      </c>
      <c r="J53" s="4" t="s">
        <v>70</v>
      </c>
      <c r="K53" s="4" t="s">
        <v>206</v>
      </c>
      <c r="L53" s="4" t="s">
        <v>62</v>
      </c>
      <c r="M53" s="4" t="s">
        <v>207</v>
      </c>
    </row>
    <row r="54" ht="22.5" customHeight="1">
      <c r="A54" s="12" t="s">
        <v>436</v>
      </c>
      <c r="B54" s="12" t="s">
        <v>437</v>
      </c>
      <c r="C54" s="13" t="s">
        <v>103</v>
      </c>
      <c r="D54" s="14"/>
      <c r="E54" s="15">
        <v>46272.0</v>
      </c>
      <c r="F54" s="13" t="s">
        <v>80</v>
      </c>
      <c r="G54" s="13" t="s">
        <v>776</v>
      </c>
      <c r="H54" s="28" t="s">
        <v>931</v>
      </c>
      <c r="I54" s="13" t="s">
        <v>81</v>
      </c>
      <c r="J54" s="27"/>
      <c r="K54" s="17"/>
      <c r="L54" s="17"/>
      <c r="M54" s="16" t="str">
        <f t="shared" ref="M54:M62" si="11">"A06 - Perception and Data Interface"</f>
        <v>A06 - Perception and Data Interface</v>
      </c>
    </row>
    <row r="55" ht="22.5" customHeight="1">
      <c r="A55" s="12" t="s">
        <v>438</v>
      </c>
      <c r="B55" s="12" t="s">
        <v>439</v>
      </c>
      <c r="C55" s="30" t="str">
        <f t="shared" ref="C55:C62" si="12">"Autonomy"</f>
        <v>Autonomy</v>
      </c>
      <c r="D55" s="14"/>
      <c r="E55" s="15">
        <v>46274.0</v>
      </c>
      <c r="F55" s="13" t="s">
        <v>75</v>
      </c>
      <c r="G55" s="13" t="s">
        <v>776</v>
      </c>
      <c r="H55" s="28" t="s">
        <v>931</v>
      </c>
      <c r="I55" s="13" t="s">
        <v>76</v>
      </c>
      <c r="J55" s="27"/>
      <c r="K55" s="17"/>
      <c r="L55" s="17"/>
      <c r="M55" s="16" t="str">
        <f t="shared" si="11"/>
        <v>A06 - Perception and Data Interface</v>
      </c>
    </row>
    <row r="56" ht="22.5" customHeight="1">
      <c r="A56" s="12" t="s">
        <v>440</v>
      </c>
      <c r="B56" s="12" t="s">
        <v>441</v>
      </c>
      <c r="C56" s="30" t="str">
        <f t="shared" si="12"/>
        <v>Autonomy</v>
      </c>
      <c r="D56" s="14"/>
      <c r="E56" s="15">
        <v>46274.0</v>
      </c>
      <c r="F56" s="13" t="s">
        <v>75</v>
      </c>
      <c r="G56" s="13" t="s">
        <v>776</v>
      </c>
      <c r="H56" s="28" t="s">
        <v>931</v>
      </c>
      <c r="I56" s="13" t="s">
        <v>86</v>
      </c>
      <c r="J56" s="27"/>
      <c r="K56" s="17"/>
      <c r="L56" s="17"/>
      <c r="M56" s="16" t="str">
        <f t="shared" si="11"/>
        <v>A06 - Perception and Data Interface</v>
      </c>
    </row>
    <row r="57" ht="22.5" customHeight="1">
      <c r="A57" s="12" t="s">
        <v>442</v>
      </c>
      <c r="B57" s="12" t="s">
        <v>443</v>
      </c>
      <c r="C57" s="30" t="str">
        <f t="shared" si="12"/>
        <v>Autonomy</v>
      </c>
      <c r="D57" s="14"/>
      <c r="E57" s="15">
        <v>46281.0</v>
      </c>
      <c r="F57" s="13" t="s">
        <v>75</v>
      </c>
      <c r="G57" s="13" t="s">
        <v>777</v>
      </c>
      <c r="H57" s="28" t="s">
        <v>931</v>
      </c>
      <c r="I57" s="13" t="s">
        <v>81</v>
      </c>
      <c r="J57" s="27"/>
      <c r="K57" s="17"/>
      <c r="L57" s="17"/>
      <c r="M57" s="16" t="str">
        <f t="shared" si="11"/>
        <v>A06 - Perception and Data Interface</v>
      </c>
    </row>
    <row r="58" ht="22.5" customHeight="1">
      <c r="A58" s="12" t="s">
        <v>444</v>
      </c>
      <c r="B58" s="12" t="s">
        <v>445</v>
      </c>
      <c r="C58" s="30" t="str">
        <f t="shared" si="12"/>
        <v>Autonomy</v>
      </c>
      <c r="D58" s="14"/>
      <c r="E58" s="15">
        <v>46295.0</v>
      </c>
      <c r="F58" s="13" t="s">
        <v>75</v>
      </c>
      <c r="G58" s="13" t="s">
        <v>776</v>
      </c>
      <c r="H58" s="28" t="s">
        <v>931</v>
      </c>
      <c r="I58" s="13" t="s">
        <v>76</v>
      </c>
      <c r="J58" s="27"/>
      <c r="K58" s="17"/>
      <c r="L58" s="12" t="s">
        <v>934</v>
      </c>
      <c r="M58" s="16" t="str">
        <f t="shared" si="11"/>
        <v>A06 - Perception and Data Interface</v>
      </c>
    </row>
    <row r="59" ht="22.5" customHeight="1">
      <c r="A59" s="12" t="s">
        <v>446</v>
      </c>
      <c r="B59" s="12" t="s">
        <v>447</v>
      </c>
      <c r="C59" s="30" t="str">
        <f t="shared" si="12"/>
        <v>Autonomy</v>
      </c>
      <c r="D59" s="14"/>
      <c r="E59" s="15">
        <v>46305.0</v>
      </c>
      <c r="F59" s="13" t="s">
        <v>75</v>
      </c>
      <c r="G59" s="13" t="s">
        <v>777</v>
      </c>
      <c r="H59" s="28" t="s">
        <v>931</v>
      </c>
      <c r="I59" s="13" t="s">
        <v>81</v>
      </c>
      <c r="J59" s="27"/>
      <c r="K59" s="17"/>
      <c r="L59" s="17"/>
      <c r="M59" s="16" t="str">
        <f t="shared" si="11"/>
        <v>A06 - Perception and Data Interface</v>
      </c>
    </row>
    <row r="60" ht="22.5" customHeight="1">
      <c r="A60" s="12" t="s">
        <v>448</v>
      </c>
      <c r="B60" s="12" t="s">
        <v>449</v>
      </c>
      <c r="C60" s="30" t="str">
        <f t="shared" si="12"/>
        <v>Autonomy</v>
      </c>
      <c r="D60" s="14"/>
      <c r="E60" s="15">
        <v>46310.0</v>
      </c>
      <c r="F60" s="13" t="s">
        <v>75</v>
      </c>
      <c r="G60" s="13" t="s">
        <v>777</v>
      </c>
      <c r="H60" s="28" t="s">
        <v>931</v>
      </c>
      <c r="I60" s="13" t="s">
        <v>81</v>
      </c>
      <c r="J60" s="27"/>
      <c r="K60" s="17"/>
      <c r="L60" s="17"/>
      <c r="M60" s="16" t="str">
        <f t="shared" si="11"/>
        <v>A06 - Perception and Data Interface</v>
      </c>
    </row>
    <row r="61" ht="22.5" customHeight="1">
      <c r="A61" s="12"/>
      <c r="B61" s="12"/>
      <c r="C61" s="30" t="str">
        <f t="shared" si="12"/>
        <v>Autonomy</v>
      </c>
      <c r="D61" s="14"/>
      <c r="E61" s="14"/>
      <c r="F61" s="30"/>
      <c r="G61" s="16"/>
      <c r="H61" s="17"/>
      <c r="I61" s="30"/>
      <c r="J61" s="27"/>
      <c r="K61" s="17"/>
      <c r="L61" s="17"/>
      <c r="M61" s="16" t="str">
        <f t="shared" si="11"/>
        <v>A06 - Perception and Data Interface</v>
      </c>
    </row>
    <row r="62" ht="22.5" customHeight="1">
      <c r="A62" s="12"/>
      <c r="B62" s="12"/>
      <c r="C62" s="30" t="str">
        <f t="shared" si="12"/>
        <v>Autonomy</v>
      </c>
      <c r="D62" s="14"/>
      <c r="E62" s="14"/>
      <c r="F62" s="30"/>
      <c r="G62" s="16"/>
      <c r="H62" s="17"/>
      <c r="I62" s="30"/>
      <c r="J62" s="27"/>
      <c r="K62" s="17"/>
      <c r="L62" s="17"/>
      <c r="M62" s="16" t="str">
        <f t="shared" si="11"/>
        <v>A06 - Perception and Data Interface</v>
      </c>
    </row>
    <row r="63" ht="1.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</row>
    <row r="64">
      <c r="A64" s="26"/>
    </row>
    <row r="65">
      <c r="A65" s="26"/>
      <c r="B65" s="26"/>
    </row>
    <row r="66" ht="22.5" customHeight="1">
      <c r="A66" s="4" t="s">
        <v>58</v>
      </c>
      <c r="B66" s="4" t="s">
        <v>67</v>
      </c>
      <c r="C66" s="4" t="s">
        <v>0</v>
      </c>
      <c r="D66" s="4" t="s">
        <v>68</v>
      </c>
      <c r="E66" s="4" t="s">
        <v>69</v>
      </c>
      <c r="F66" s="4" t="s">
        <v>60</v>
      </c>
      <c r="G66" s="4" t="s">
        <v>7</v>
      </c>
      <c r="H66" s="4" t="s">
        <v>204</v>
      </c>
      <c r="I66" s="4" t="s">
        <v>72</v>
      </c>
      <c r="J66" s="4" t="s">
        <v>70</v>
      </c>
      <c r="K66" s="4" t="s">
        <v>206</v>
      </c>
      <c r="L66" s="4" t="s">
        <v>62</v>
      </c>
      <c r="M66" s="4" t="s">
        <v>207</v>
      </c>
    </row>
    <row r="67" ht="22.5" customHeight="1">
      <c r="A67" s="12" t="s">
        <v>450</v>
      </c>
      <c r="B67" s="12" t="s">
        <v>451</v>
      </c>
      <c r="C67" s="13" t="s">
        <v>103</v>
      </c>
      <c r="D67" s="14"/>
      <c r="E67" s="15">
        <v>46407.0</v>
      </c>
      <c r="F67" s="13" t="s">
        <v>75</v>
      </c>
      <c r="G67" s="13" t="s">
        <v>780</v>
      </c>
      <c r="H67" s="28" t="s">
        <v>931</v>
      </c>
      <c r="I67" s="13" t="s">
        <v>91</v>
      </c>
      <c r="J67" s="27"/>
      <c r="K67" s="17"/>
      <c r="L67" s="17"/>
      <c r="M67" s="16" t="str">
        <f t="shared" ref="M67:M71" si="13">"A07 - Software Pipeline"</f>
        <v>A07 - Software Pipeline</v>
      </c>
    </row>
    <row r="68" ht="22.5" customHeight="1">
      <c r="A68" s="12"/>
      <c r="B68" s="12"/>
      <c r="C68" s="30" t="str">
        <f t="shared" ref="C68:C71" si="14">"Autonomy"</f>
        <v>Autonomy</v>
      </c>
      <c r="D68" s="14"/>
      <c r="E68" s="14"/>
      <c r="F68" s="30"/>
      <c r="G68" s="16"/>
      <c r="H68" s="17"/>
      <c r="I68" s="30"/>
      <c r="J68" s="27"/>
      <c r="K68" s="17"/>
      <c r="L68" s="17"/>
      <c r="M68" s="16" t="str">
        <f t="shared" si="13"/>
        <v>A07 - Software Pipeline</v>
      </c>
    </row>
    <row r="69" ht="22.5" customHeight="1">
      <c r="A69" s="12"/>
      <c r="B69" s="12"/>
      <c r="C69" s="30" t="str">
        <f t="shared" si="14"/>
        <v>Autonomy</v>
      </c>
      <c r="D69" s="14"/>
      <c r="E69" s="14"/>
      <c r="F69" s="30"/>
      <c r="G69" s="16"/>
      <c r="H69" s="17"/>
      <c r="I69" s="30"/>
      <c r="J69" s="27"/>
      <c r="K69" s="17"/>
      <c r="L69" s="17"/>
      <c r="M69" s="16" t="str">
        <f t="shared" si="13"/>
        <v>A07 - Software Pipeline</v>
      </c>
    </row>
    <row r="70" ht="22.5" customHeight="1">
      <c r="A70" s="12"/>
      <c r="B70" s="12"/>
      <c r="C70" s="30" t="str">
        <f t="shared" si="14"/>
        <v>Autonomy</v>
      </c>
      <c r="D70" s="14"/>
      <c r="E70" s="14"/>
      <c r="F70" s="30"/>
      <c r="G70" s="16"/>
      <c r="H70" s="17"/>
      <c r="I70" s="30"/>
      <c r="J70" s="27"/>
      <c r="K70" s="17"/>
      <c r="L70" s="17"/>
      <c r="M70" s="16" t="str">
        <f t="shared" si="13"/>
        <v>A07 - Software Pipeline</v>
      </c>
    </row>
    <row r="71" ht="22.5" customHeight="1">
      <c r="A71" s="12"/>
      <c r="B71" s="12"/>
      <c r="C71" s="30" t="str">
        <f t="shared" si="14"/>
        <v>Autonomy</v>
      </c>
      <c r="D71" s="14"/>
      <c r="E71" s="14"/>
      <c r="F71" s="30"/>
      <c r="G71" s="16"/>
      <c r="H71" s="17"/>
      <c r="I71" s="30"/>
      <c r="J71" s="27"/>
      <c r="K71" s="17"/>
      <c r="L71" s="17"/>
      <c r="M71" s="16" t="str">
        <f t="shared" si="13"/>
        <v>A07 - Software Pipeline</v>
      </c>
    </row>
    <row r="72" ht="1.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</row>
    <row r="73">
      <c r="A73" s="26"/>
    </row>
    <row r="74">
      <c r="A74" s="26"/>
      <c r="B74" s="26"/>
    </row>
    <row r="75" ht="22.5" customHeight="1">
      <c r="A75" s="4" t="s">
        <v>58</v>
      </c>
      <c r="B75" s="4" t="s">
        <v>67</v>
      </c>
      <c r="C75" s="4" t="s">
        <v>0</v>
      </c>
      <c r="D75" s="4" t="s">
        <v>68</v>
      </c>
      <c r="E75" s="4" t="s">
        <v>69</v>
      </c>
      <c r="F75" s="4" t="s">
        <v>60</v>
      </c>
      <c r="G75" s="4" t="s">
        <v>7</v>
      </c>
      <c r="H75" s="4" t="s">
        <v>204</v>
      </c>
      <c r="I75" s="4" t="s">
        <v>72</v>
      </c>
      <c r="J75" s="4" t="s">
        <v>70</v>
      </c>
      <c r="K75" s="4" t="s">
        <v>206</v>
      </c>
      <c r="L75" s="4" t="s">
        <v>62</v>
      </c>
      <c r="M75" s="4" t="s">
        <v>207</v>
      </c>
    </row>
    <row r="76" ht="22.5" customHeight="1">
      <c r="A76" s="12"/>
      <c r="B76" s="12"/>
      <c r="C76" s="30" t="str">
        <f t="shared" ref="C76:C80" si="15">"Autonomy"</f>
        <v>Autonomy</v>
      </c>
      <c r="D76" s="14"/>
      <c r="E76" s="14"/>
      <c r="F76" s="30"/>
      <c r="G76" s="16"/>
      <c r="H76" s="17"/>
      <c r="I76" s="30"/>
      <c r="J76" s="27"/>
      <c r="K76" s="17"/>
      <c r="L76" s="17"/>
      <c r="M76" s="16" t="str">
        <f t="shared" ref="M76:M80" si="16">"A08 - Other Autonomy"</f>
        <v>A08 - Other Autonomy</v>
      </c>
    </row>
    <row r="77" ht="22.5" customHeight="1">
      <c r="A77" s="12"/>
      <c r="B77" s="12"/>
      <c r="C77" s="30" t="str">
        <f t="shared" si="15"/>
        <v>Autonomy</v>
      </c>
      <c r="D77" s="14"/>
      <c r="E77" s="14"/>
      <c r="F77" s="30"/>
      <c r="G77" s="16"/>
      <c r="H77" s="17"/>
      <c r="I77" s="30"/>
      <c r="J77" s="27"/>
      <c r="K77" s="17"/>
      <c r="L77" s="17"/>
      <c r="M77" s="16" t="str">
        <f t="shared" si="16"/>
        <v>A08 - Other Autonomy</v>
      </c>
    </row>
    <row r="78" ht="22.5" customHeight="1">
      <c r="A78" s="12"/>
      <c r="B78" s="12"/>
      <c r="C78" s="30" t="str">
        <f t="shared" si="15"/>
        <v>Autonomy</v>
      </c>
      <c r="D78" s="14"/>
      <c r="E78" s="14"/>
      <c r="F78" s="30"/>
      <c r="G78" s="16"/>
      <c r="H78" s="17"/>
      <c r="I78" s="30"/>
      <c r="J78" s="27"/>
      <c r="K78" s="17"/>
      <c r="L78" s="17"/>
      <c r="M78" s="16" t="str">
        <f t="shared" si="16"/>
        <v>A08 - Other Autonomy</v>
      </c>
    </row>
    <row r="79" ht="22.5" customHeight="1">
      <c r="A79" s="12"/>
      <c r="B79" s="12"/>
      <c r="C79" s="30" t="str">
        <f t="shared" si="15"/>
        <v>Autonomy</v>
      </c>
      <c r="D79" s="14"/>
      <c r="E79" s="14"/>
      <c r="F79" s="30"/>
      <c r="G79" s="16"/>
      <c r="H79" s="17"/>
      <c r="I79" s="30"/>
      <c r="J79" s="27"/>
      <c r="K79" s="17"/>
      <c r="L79" s="17"/>
      <c r="M79" s="16" t="str">
        <f t="shared" si="16"/>
        <v>A08 - Other Autonomy</v>
      </c>
    </row>
    <row r="80" ht="22.5" customHeight="1">
      <c r="A80" s="12"/>
      <c r="B80" s="12"/>
      <c r="C80" s="30" t="str">
        <f t="shared" si="15"/>
        <v>Autonomy</v>
      </c>
      <c r="D80" s="14"/>
      <c r="E80" s="14"/>
      <c r="F80" s="30"/>
      <c r="G80" s="16"/>
      <c r="H80" s="17"/>
      <c r="I80" s="30"/>
      <c r="J80" s="27"/>
      <c r="K80" s="17"/>
      <c r="L80" s="17"/>
      <c r="M80" s="16" t="str">
        <f t="shared" si="16"/>
        <v>A08 - Other Autonomy</v>
      </c>
    </row>
    <row r="81" ht="1.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</row>
    <row r="82">
      <c r="A82" s="26"/>
    </row>
  </sheetData>
  <mergeCells count="16">
    <mergeCell ref="B1:M1"/>
    <mergeCell ref="A9:M9"/>
    <mergeCell ref="B10:M10"/>
    <mergeCell ref="A21:M21"/>
    <mergeCell ref="B22:M22"/>
    <mergeCell ref="A31:M31"/>
    <mergeCell ref="B32:M32"/>
    <mergeCell ref="B74:M74"/>
    <mergeCell ref="A82:M82"/>
    <mergeCell ref="A40:M40"/>
    <mergeCell ref="B41:M41"/>
    <mergeCell ref="A51:M51"/>
    <mergeCell ref="B52:M52"/>
    <mergeCell ref="A64:M64"/>
    <mergeCell ref="B65:M65"/>
    <mergeCell ref="A73:M73"/>
  </mergeCells>
  <dataValidations>
    <dataValidation type="list" allowBlank="1" sqref="J3:J7 J12:J18 J24:J29 J34:J38 J43:J49 J54:J62 J67:J71 J76:J80">
      <formula1>#REF!</formula1>
    </dataValidation>
    <dataValidation type="list" allowBlank="1" sqref="F3:F7 F12:F18 F24:F29 F34:F38 F43:F49 F54:F62 F67:F71 F76:F80">
      <formula1>#REF!</formula1>
    </dataValidation>
    <dataValidation type="custom" allowBlank="1" showDropDown="1" sqref="D3:E7 D12:E18 D24:E29 D34:E38 D43:E49 D54:E62 D67:E71 D76:E80">
      <formula1>OR(NOT(ISERROR(DATEVALUE(D3))), AND(ISNUMBER(D3), LEFT(CELL("format", D3))="D"))</formula1>
    </dataValidation>
    <dataValidation type="list" allowBlank="1" sqref="I3:I7 I12:I18 I24:I29 I34:I38 I43:I49 I54:I62 I67:I71 I76:I80">
      <formula1>#REF!</formula1>
    </dataValidation>
    <dataValidation allowBlank="1" showDropDown="1" sqref="B3:B7 K3:L7 B12:B18 K12:L18 B24:B29 K24:L29 B34:B38 K34:L38 B43:B49 K43:L49 B54:B62 K54:L62 B67:B71 K67:L71 B76:B80 K76:L80"/>
    <dataValidation allowBlank="1" showDropDown="1" sqref="A3:A7 A12:A18 A24:A29 A34:A38 A43:A49 A54:A62 A67:A71 A76:A80"/>
    <dataValidation type="list" allowBlank="1" sqref="G3:G7 M3:M7 G12:G18 M12:M18 G24:G29 M24:M29 G34:G38 M34:M38 G43:G49 M43:M49 G54:G62 M54:M62 G67:G71 M67:M71 G76:G80 M76:M80">
      <formula1>#REF!</formula1>
    </dataValidation>
    <dataValidation type="list" allowBlank="1" sqref="C3:C7 C12:C18 C24:C29 C34:C38 C43:C49 C54:C62 C67:C71 C76:C80">
      <formula1>#REF!</formula1>
    </dataValidation>
  </dataValidations>
  <hyperlinks>
    <hyperlink r:id="rId1" ref="H12"/>
    <hyperlink r:id="rId2" ref="H13"/>
    <hyperlink r:id="rId3" ref="H14"/>
    <hyperlink r:id="rId4" ref="H15"/>
    <hyperlink r:id="rId5" ref="H24"/>
    <hyperlink r:id="rId6" ref="H25"/>
    <hyperlink r:id="rId7" ref="H26"/>
    <hyperlink r:id="rId8" ref="H27"/>
    <hyperlink r:id="rId9" ref="H34"/>
    <hyperlink r:id="rId10" ref="H35"/>
    <hyperlink r:id="rId11" ref="H43"/>
    <hyperlink r:id="rId12" ref="H44"/>
    <hyperlink r:id="rId13" ref="H45"/>
    <hyperlink r:id="rId14" ref="H46"/>
    <hyperlink r:id="rId15" ref="H47"/>
    <hyperlink r:id="rId16" ref="H54"/>
    <hyperlink r:id="rId17" ref="H55"/>
    <hyperlink r:id="rId18" ref="H56"/>
    <hyperlink r:id="rId19" ref="H57"/>
    <hyperlink r:id="rId20" ref="H58"/>
    <hyperlink r:id="rId21" ref="H59"/>
    <hyperlink r:id="rId22" ref="H60"/>
    <hyperlink r:id="rId23" ref="H67"/>
  </hyperlinks>
  <drawing r:id="rId24"/>
  <tableParts count="8">
    <tablePart r:id="rId33"/>
    <tablePart r:id="rId34"/>
    <tablePart r:id="rId35"/>
    <tablePart r:id="rId36"/>
    <tablePart r:id="rId37"/>
    <tablePart r:id="rId38"/>
    <tablePart r:id="rId39"/>
    <tablePart r:id="rId40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9BE7A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7.0"/>
    <col customWidth="1" hidden="1" min="3" max="3" width="16.38"/>
    <col customWidth="1" min="4" max="5" width="13.88"/>
    <col customWidth="1" min="6" max="6" width="14.38"/>
    <col customWidth="1" min="7" max="7" width="17.0"/>
    <col customWidth="1" min="8" max="8" width="17.63"/>
    <col customWidth="1" min="9" max="9" width="14.0"/>
    <col customWidth="1" min="10" max="10" width="19.5"/>
    <col customWidth="1" min="11" max="12" width="25.13"/>
    <col customWidth="1" hidden="1" min="13" max="13" width="25.13"/>
  </cols>
  <sheetData>
    <row r="1">
      <c r="A1" s="26"/>
      <c r="B1" s="26"/>
    </row>
    <row r="2" ht="22.5" customHeight="1">
      <c r="A2" s="4" t="s">
        <v>58</v>
      </c>
      <c r="B2" s="4" t="s">
        <v>67</v>
      </c>
      <c r="C2" s="4" t="s">
        <v>0</v>
      </c>
      <c r="D2" s="4" t="s">
        <v>68</v>
      </c>
      <c r="E2" s="4" t="s">
        <v>69</v>
      </c>
      <c r="F2" s="4" t="s">
        <v>60</v>
      </c>
      <c r="G2" s="4" t="s">
        <v>7</v>
      </c>
      <c r="H2" s="4" t="s">
        <v>204</v>
      </c>
      <c r="I2" s="4" t="s">
        <v>72</v>
      </c>
      <c r="J2" s="4" t="s">
        <v>70</v>
      </c>
      <c r="K2" s="4" t="s">
        <v>206</v>
      </c>
      <c r="L2" s="4" t="s">
        <v>62</v>
      </c>
      <c r="M2" s="4" t="s">
        <v>207</v>
      </c>
    </row>
    <row r="3" ht="22.5" customHeight="1">
      <c r="A3" s="12" t="s">
        <v>452</v>
      </c>
      <c r="B3" s="12" t="s">
        <v>453</v>
      </c>
      <c r="C3" s="13" t="s">
        <v>106</v>
      </c>
      <c r="D3" s="46">
        <v>46388.0</v>
      </c>
      <c r="E3" s="46">
        <v>46447.0</v>
      </c>
      <c r="F3" s="13" t="s">
        <v>75</v>
      </c>
      <c r="G3" s="13"/>
      <c r="H3" s="28" t="s">
        <v>897</v>
      </c>
      <c r="I3" s="13" t="s">
        <v>81</v>
      </c>
      <c r="J3" s="29"/>
      <c r="K3" s="12" t="s">
        <v>899</v>
      </c>
      <c r="L3" s="12" t="s">
        <v>900</v>
      </c>
      <c r="M3" s="16" t="str">
        <f t="shared" ref="M3:M13" si="1">"A01 - Aerodynamics"</f>
        <v>A01 - Aerodynamics</v>
      </c>
    </row>
    <row r="4" ht="22.5" customHeight="1">
      <c r="A4" s="12" t="s">
        <v>454</v>
      </c>
      <c r="B4" s="12" t="s">
        <v>455</v>
      </c>
      <c r="C4" s="13" t="s">
        <v>106</v>
      </c>
      <c r="D4" s="15"/>
      <c r="E4" s="15"/>
      <c r="F4" s="13"/>
      <c r="G4" s="16"/>
      <c r="H4" s="28" t="s">
        <v>897</v>
      </c>
      <c r="I4" s="13" t="s">
        <v>81</v>
      </c>
      <c r="J4" s="27"/>
      <c r="K4" s="12" t="s">
        <v>901</v>
      </c>
      <c r="L4" s="12"/>
      <c r="M4" s="16" t="str">
        <f t="shared" si="1"/>
        <v>A01 - Aerodynamics</v>
      </c>
    </row>
    <row r="5" ht="22.5" customHeight="1">
      <c r="A5" s="12" t="s">
        <v>456</v>
      </c>
      <c r="B5" s="12" t="s">
        <v>457</v>
      </c>
      <c r="C5" s="13" t="s">
        <v>106</v>
      </c>
      <c r="D5" s="15">
        <v>46235.0</v>
      </c>
      <c r="E5" s="15">
        <v>46244.0</v>
      </c>
      <c r="F5" s="13" t="s">
        <v>80</v>
      </c>
      <c r="G5" s="16"/>
      <c r="H5" s="28" t="s">
        <v>897</v>
      </c>
      <c r="I5" s="13" t="s">
        <v>81</v>
      </c>
      <c r="J5" s="27"/>
      <c r="K5" s="12" t="s">
        <v>903</v>
      </c>
      <c r="L5" s="17"/>
      <c r="M5" s="16" t="str">
        <f t="shared" si="1"/>
        <v>A01 - Aerodynamics</v>
      </c>
    </row>
    <row r="6" ht="22.5" customHeight="1">
      <c r="A6" s="12" t="s">
        <v>459</v>
      </c>
      <c r="B6" s="12" t="s">
        <v>460</v>
      </c>
      <c r="C6" s="13" t="s">
        <v>106</v>
      </c>
      <c r="D6" s="15">
        <v>46293.0</v>
      </c>
      <c r="E6" s="15">
        <v>46298.0</v>
      </c>
      <c r="F6" s="13" t="s">
        <v>75</v>
      </c>
      <c r="G6" s="16"/>
      <c r="H6" s="28" t="s">
        <v>897</v>
      </c>
      <c r="I6" s="13" t="s">
        <v>86</v>
      </c>
      <c r="J6" s="27"/>
      <c r="K6" s="12" t="s">
        <v>905</v>
      </c>
      <c r="L6" s="17"/>
      <c r="M6" s="16" t="str">
        <f t="shared" si="1"/>
        <v>A01 - Aerodynamics</v>
      </c>
    </row>
    <row r="7" ht="22.5" customHeight="1">
      <c r="A7" s="31" t="s">
        <v>461</v>
      </c>
      <c r="B7" s="31" t="s">
        <v>462</v>
      </c>
      <c r="C7" s="32" t="s">
        <v>106</v>
      </c>
      <c r="D7" s="33">
        <v>46258.0</v>
      </c>
      <c r="E7" s="33">
        <v>46262.0</v>
      </c>
      <c r="F7" s="32" t="s">
        <v>95</v>
      </c>
      <c r="G7" s="34"/>
      <c r="H7" s="35" t="s">
        <v>897</v>
      </c>
      <c r="I7" s="32" t="s">
        <v>86</v>
      </c>
      <c r="J7" s="36"/>
      <c r="K7" s="31" t="s">
        <v>907</v>
      </c>
      <c r="L7" s="37"/>
      <c r="M7" s="34" t="str">
        <f t="shared" si="1"/>
        <v>A01 - Aerodynamics</v>
      </c>
    </row>
    <row r="8" ht="22.5" customHeight="1">
      <c r="A8" s="12" t="s">
        <v>463</v>
      </c>
      <c r="B8" s="12" t="s">
        <v>464</v>
      </c>
      <c r="C8" s="13" t="s">
        <v>106</v>
      </c>
      <c r="D8" s="15">
        <v>46235.0</v>
      </c>
      <c r="E8" s="15">
        <v>46293.0</v>
      </c>
      <c r="F8" s="13" t="s">
        <v>75</v>
      </c>
      <c r="G8" s="16"/>
      <c r="H8" s="28" t="s">
        <v>897</v>
      </c>
      <c r="I8" s="13" t="s">
        <v>81</v>
      </c>
      <c r="J8" s="27"/>
      <c r="K8" s="12" t="s">
        <v>908</v>
      </c>
      <c r="L8" s="17"/>
      <c r="M8" s="16" t="str">
        <f t="shared" si="1"/>
        <v>A01 - Aerodynamics</v>
      </c>
    </row>
    <row r="9" ht="22.5" customHeight="1">
      <c r="A9" s="12" t="s">
        <v>465</v>
      </c>
      <c r="B9" s="12" t="s">
        <v>466</v>
      </c>
      <c r="C9" s="13" t="s">
        <v>106</v>
      </c>
      <c r="D9" s="15">
        <v>46327.0</v>
      </c>
      <c r="E9" s="15">
        <v>46356.0</v>
      </c>
      <c r="F9" s="13" t="s">
        <v>75</v>
      </c>
      <c r="G9" s="16"/>
      <c r="H9" s="28" t="s">
        <v>897</v>
      </c>
      <c r="I9" s="13" t="s">
        <v>81</v>
      </c>
      <c r="J9" s="27"/>
      <c r="K9" s="12" t="s">
        <v>911</v>
      </c>
      <c r="L9" s="17"/>
      <c r="M9" s="16" t="str">
        <f t="shared" si="1"/>
        <v>A01 - Aerodynamics</v>
      </c>
    </row>
    <row r="10" ht="22.5" customHeight="1">
      <c r="A10" s="12" t="s">
        <v>467</v>
      </c>
      <c r="B10" s="12" t="s">
        <v>468</v>
      </c>
      <c r="C10" s="13" t="s">
        <v>106</v>
      </c>
      <c r="D10" s="15">
        <v>46388.0</v>
      </c>
      <c r="E10" s="15">
        <v>46508.0</v>
      </c>
      <c r="F10" s="13" t="s">
        <v>75</v>
      </c>
      <c r="G10" s="16"/>
      <c r="H10" s="28" t="s">
        <v>897</v>
      </c>
      <c r="I10" s="13" t="s">
        <v>81</v>
      </c>
      <c r="J10" s="27"/>
      <c r="K10" s="12" t="s">
        <v>912</v>
      </c>
      <c r="L10" s="17"/>
      <c r="M10" s="16" t="str">
        <f t="shared" si="1"/>
        <v>A01 - Aerodynamics</v>
      </c>
    </row>
    <row r="11" ht="22.5" customHeight="1">
      <c r="A11" s="12" t="s">
        <v>469</v>
      </c>
      <c r="B11" s="12" t="s">
        <v>470</v>
      </c>
      <c r="C11" s="13" t="s">
        <v>106</v>
      </c>
      <c r="D11" s="15">
        <v>46265.0</v>
      </c>
      <c r="E11" s="15">
        <v>46269.0</v>
      </c>
      <c r="F11" s="13" t="s">
        <v>80</v>
      </c>
      <c r="G11" s="16"/>
      <c r="H11" s="28" t="s">
        <v>897</v>
      </c>
      <c r="I11" s="13" t="s">
        <v>81</v>
      </c>
      <c r="J11" s="27"/>
      <c r="K11" s="12" t="s">
        <v>913</v>
      </c>
      <c r="L11" s="17"/>
      <c r="M11" s="16" t="str">
        <f t="shared" si="1"/>
        <v>A01 - Aerodynamics</v>
      </c>
    </row>
    <row r="12" ht="22.5" customHeight="1">
      <c r="A12" s="12"/>
      <c r="B12" s="12"/>
      <c r="C12" s="30" t="str">
        <f t="shared" ref="C12:C13" si="2">"Aerodynamics"</f>
        <v>Aerodynamics</v>
      </c>
      <c r="D12" s="14"/>
      <c r="E12" s="14"/>
      <c r="F12" s="30"/>
      <c r="G12" s="16"/>
      <c r="H12" s="17"/>
      <c r="I12" s="30"/>
      <c r="J12" s="27"/>
      <c r="K12" s="17"/>
      <c r="L12" s="17"/>
      <c r="M12" s="16" t="str">
        <f t="shared" si="1"/>
        <v>A01 - Aerodynamics</v>
      </c>
    </row>
    <row r="13" ht="22.5" customHeight="1">
      <c r="A13" s="12"/>
      <c r="B13" s="12"/>
      <c r="C13" s="30" t="str">
        <f t="shared" si="2"/>
        <v>Aerodynamics</v>
      </c>
      <c r="D13" s="14"/>
      <c r="E13" s="14"/>
      <c r="F13" s="30"/>
      <c r="G13" s="16"/>
      <c r="H13" s="17"/>
      <c r="I13" s="30"/>
      <c r="J13" s="27"/>
      <c r="K13" s="17"/>
      <c r="L13" s="17"/>
      <c r="M13" s="16" t="str">
        <f t="shared" si="1"/>
        <v>A01 - Aerodynamics</v>
      </c>
    </row>
    <row r="14" ht="1.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</row>
    <row r="15">
      <c r="A15" s="26"/>
    </row>
    <row r="16">
      <c r="A16" s="26"/>
      <c r="B16" s="26"/>
    </row>
    <row r="17" ht="22.5" customHeight="1">
      <c r="A17" s="4" t="s">
        <v>58</v>
      </c>
      <c r="B17" s="4" t="s">
        <v>67</v>
      </c>
      <c r="C17" s="4" t="s">
        <v>0</v>
      </c>
      <c r="D17" s="4" t="s">
        <v>68</v>
      </c>
      <c r="E17" s="4" t="s">
        <v>69</v>
      </c>
      <c r="F17" s="4" t="s">
        <v>60</v>
      </c>
      <c r="G17" s="4" t="s">
        <v>7</v>
      </c>
      <c r="H17" s="4" t="s">
        <v>204</v>
      </c>
      <c r="I17" s="4" t="s">
        <v>72</v>
      </c>
      <c r="J17" s="4" t="s">
        <v>70</v>
      </c>
      <c r="K17" s="4" t="s">
        <v>206</v>
      </c>
      <c r="L17" s="4" t="s">
        <v>62</v>
      </c>
      <c r="M17" s="4" t="s">
        <v>207</v>
      </c>
    </row>
    <row r="18" ht="22.5" customHeight="1">
      <c r="A18" s="12" t="s">
        <v>471</v>
      </c>
      <c r="B18" s="12" t="s">
        <v>472</v>
      </c>
      <c r="C18" s="13" t="s">
        <v>106</v>
      </c>
      <c r="D18" s="15">
        <v>46293.0</v>
      </c>
      <c r="E18" s="15">
        <v>46294.0</v>
      </c>
      <c r="F18" s="13" t="s">
        <v>75</v>
      </c>
      <c r="G18" s="16"/>
      <c r="H18" s="28" t="s">
        <v>917</v>
      </c>
      <c r="I18" s="13" t="s">
        <v>81</v>
      </c>
      <c r="J18" s="27"/>
      <c r="K18" s="12" t="s">
        <v>918</v>
      </c>
      <c r="L18" s="17"/>
      <c r="M18" s="16" t="str">
        <f t="shared" ref="M18:M22" si="3">"A02 - Front Wing"</f>
        <v>A02 - Front Wing</v>
      </c>
    </row>
    <row r="19" ht="22.5" customHeight="1">
      <c r="A19" s="12" t="s">
        <v>473</v>
      </c>
      <c r="B19" s="12" t="s">
        <v>474</v>
      </c>
      <c r="C19" s="13" t="s">
        <v>106</v>
      </c>
      <c r="D19" s="15">
        <v>46327.0</v>
      </c>
      <c r="E19" s="15">
        <v>46340.0</v>
      </c>
      <c r="F19" s="13" t="s">
        <v>75</v>
      </c>
      <c r="G19" s="16"/>
      <c r="H19" s="28" t="s">
        <v>917</v>
      </c>
      <c r="I19" s="13" t="s">
        <v>81</v>
      </c>
      <c r="J19" s="27"/>
      <c r="K19" s="12" t="s">
        <v>919</v>
      </c>
      <c r="L19" s="17"/>
      <c r="M19" s="16" t="str">
        <f t="shared" si="3"/>
        <v>A02 - Front Wing</v>
      </c>
    </row>
    <row r="20" ht="22.5" customHeight="1">
      <c r="A20" s="12" t="s">
        <v>475</v>
      </c>
      <c r="B20" s="12" t="s">
        <v>476</v>
      </c>
      <c r="C20" s="13" t="s">
        <v>106</v>
      </c>
      <c r="D20" s="15">
        <v>46388.0</v>
      </c>
      <c r="E20" s="15">
        <v>46419.0</v>
      </c>
      <c r="F20" s="13" t="s">
        <v>75</v>
      </c>
      <c r="G20" s="16"/>
      <c r="H20" s="28" t="s">
        <v>917</v>
      </c>
      <c r="I20" s="13" t="s">
        <v>81</v>
      </c>
      <c r="J20" s="27"/>
      <c r="K20" s="12" t="s">
        <v>920</v>
      </c>
      <c r="L20" s="17"/>
      <c r="M20" s="16" t="str">
        <f t="shared" si="3"/>
        <v>A02 - Front Wing</v>
      </c>
    </row>
    <row r="21" ht="22.5" customHeight="1">
      <c r="A21" s="12"/>
      <c r="B21" s="12"/>
      <c r="C21" s="30" t="str">
        <f t="shared" ref="C21:C22" si="4">"Aerodynamics"</f>
        <v>Aerodynamics</v>
      </c>
      <c r="D21" s="14"/>
      <c r="E21" s="14"/>
      <c r="F21" s="30"/>
      <c r="G21" s="16"/>
      <c r="H21" s="17"/>
      <c r="I21" s="30"/>
      <c r="J21" s="27"/>
      <c r="K21" s="17"/>
      <c r="L21" s="17"/>
      <c r="M21" s="16" t="str">
        <f t="shared" si="3"/>
        <v>A02 - Front Wing</v>
      </c>
    </row>
    <row r="22" ht="22.5" customHeight="1">
      <c r="A22" s="12"/>
      <c r="B22" s="12"/>
      <c r="C22" s="30" t="str">
        <f t="shared" si="4"/>
        <v>Aerodynamics</v>
      </c>
      <c r="D22" s="14"/>
      <c r="E22" s="14"/>
      <c r="F22" s="30"/>
      <c r="G22" s="16"/>
      <c r="H22" s="17"/>
      <c r="I22" s="30"/>
      <c r="J22" s="27"/>
      <c r="K22" s="17"/>
      <c r="L22" s="17"/>
      <c r="M22" s="16" t="str">
        <f t="shared" si="3"/>
        <v>A02 - Front Wing</v>
      </c>
    </row>
    <row r="23" ht="1.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>
      <c r="A24" s="26"/>
    </row>
    <row r="25">
      <c r="A25" s="26"/>
      <c r="B25" s="26"/>
    </row>
    <row r="26" ht="22.5" customHeight="1">
      <c r="A26" s="4" t="s">
        <v>58</v>
      </c>
      <c r="B26" s="4" t="s">
        <v>67</v>
      </c>
      <c r="C26" s="4" t="s">
        <v>0</v>
      </c>
      <c r="D26" s="4" t="s">
        <v>68</v>
      </c>
      <c r="E26" s="4" t="s">
        <v>69</v>
      </c>
      <c r="F26" s="4" t="s">
        <v>60</v>
      </c>
      <c r="G26" s="4" t="s">
        <v>7</v>
      </c>
      <c r="H26" s="4" t="s">
        <v>204</v>
      </c>
      <c r="I26" s="4" t="s">
        <v>72</v>
      </c>
      <c r="J26" s="4" t="s">
        <v>70</v>
      </c>
      <c r="K26" s="4" t="s">
        <v>206</v>
      </c>
      <c r="L26" s="4" t="s">
        <v>62</v>
      </c>
      <c r="M26" s="4" t="s">
        <v>207</v>
      </c>
    </row>
    <row r="27" ht="22.5" customHeight="1">
      <c r="A27" s="12" t="s">
        <v>478</v>
      </c>
      <c r="B27" s="12" t="s">
        <v>472</v>
      </c>
      <c r="C27" s="13" t="s">
        <v>106</v>
      </c>
      <c r="D27" s="15">
        <v>46293.0</v>
      </c>
      <c r="E27" s="15">
        <v>46294.0</v>
      </c>
      <c r="F27" s="13" t="s">
        <v>75</v>
      </c>
      <c r="G27" s="16"/>
      <c r="H27" s="28" t="s">
        <v>922</v>
      </c>
      <c r="I27" s="13" t="s">
        <v>81</v>
      </c>
      <c r="J27" s="27"/>
      <c r="K27" s="12" t="s">
        <v>918</v>
      </c>
      <c r="L27" s="17"/>
      <c r="M27" s="16" t="str">
        <f t="shared" ref="M27:M31" si="5">"A03 - Rear Wing"</f>
        <v>A03 - Rear Wing</v>
      </c>
    </row>
    <row r="28" ht="22.5" customHeight="1">
      <c r="A28" s="12" t="s">
        <v>480</v>
      </c>
      <c r="B28" s="12" t="s">
        <v>474</v>
      </c>
      <c r="C28" s="13" t="s">
        <v>106</v>
      </c>
      <c r="D28" s="15">
        <v>46327.0</v>
      </c>
      <c r="E28" s="15">
        <v>46340.0</v>
      </c>
      <c r="F28" s="13" t="s">
        <v>75</v>
      </c>
      <c r="G28" s="16"/>
      <c r="H28" s="28" t="s">
        <v>922</v>
      </c>
      <c r="I28" s="13" t="s">
        <v>81</v>
      </c>
      <c r="J28" s="27"/>
      <c r="K28" s="12" t="s">
        <v>919</v>
      </c>
      <c r="L28" s="17"/>
      <c r="M28" s="16" t="str">
        <f t="shared" si="5"/>
        <v>A03 - Rear Wing</v>
      </c>
    </row>
    <row r="29" ht="22.5" customHeight="1">
      <c r="A29" s="12" t="s">
        <v>481</v>
      </c>
      <c r="B29" s="12" t="s">
        <v>476</v>
      </c>
      <c r="C29" s="13" t="s">
        <v>106</v>
      </c>
      <c r="D29" s="15">
        <v>46388.0</v>
      </c>
      <c r="E29" s="15">
        <v>46419.0</v>
      </c>
      <c r="F29" s="13" t="s">
        <v>75</v>
      </c>
      <c r="G29" s="16"/>
      <c r="H29" s="28" t="s">
        <v>922</v>
      </c>
      <c r="I29" s="13" t="s">
        <v>81</v>
      </c>
      <c r="J29" s="27"/>
      <c r="K29" s="12" t="s">
        <v>920</v>
      </c>
      <c r="L29" s="17"/>
      <c r="M29" s="16" t="str">
        <f t="shared" si="5"/>
        <v>A03 - Rear Wing</v>
      </c>
    </row>
    <row r="30" ht="22.5" customHeight="1">
      <c r="A30" s="12"/>
      <c r="B30" s="12"/>
      <c r="C30" s="30" t="str">
        <f t="shared" ref="C30:C31" si="6">"Aerodynamics"</f>
        <v>Aerodynamics</v>
      </c>
      <c r="D30" s="14"/>
      <c r="E30" s="14"/>
      <c r="F30" s="30"/>
      <c r="G30" s="16"/>
      <c r="H30" s="17"/>
      <c r="I30" s="30"/>
      <c r="J30" s="27"/>
      <c r="K30" s="17"/>
      <c r="L30" s="17"/>
      <c r="M30" s="16" t="str">
        <f t="shared" si="5"/>
        <v>A03 - Rear Wing</v>
      </c>
    </row>
    <row r="31" ht="22.5" customHeight="1">
      <c r="A31" s="12"/>
      <c r="B31" s="12"/>
      <c r="C31" s="30" t="str">
        <f t="shared" si="6"/>
        <v>Aerodynamics</v>
      </c>
      <c r="D31" s="14"/>
      <c r="E31" s="14"/>
      <c r="F31" s="30"/>
      <c r="G31" s="16"/>
      <c r="H31" s="17"/>
      <c r="I31" s="30"/>
      <c r="J31" s="27"/>
      <c r="K31" s="17"/>
      <c r="L31" s="17"/>
      <c r="M31" s="16" t="str">
        <f t="shared" si="5"/>
        <v>A03 - Rear Wing</v>
      </c>
    </row>
    <row r="32" ht="1.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</row>
    <row r="33">
      <c r="A33" s="26"/>
    </row>
    <row r="34">
      <c r="A34" s="26"/>
      <c r="B34" s="26"/>
    </row>
    <row r="35" ht="22.5" customHeight="1">
      <c r="A35" s="4" t="s">
        <v>58</v>
      </c>
      <c r="B35" s="4" t="s">
        <v>67</v>
      </c>
      <c r="C35" s="4" t="s">
        <v>0</v>
      </c>
      <c r="D35" s="4" t="s">
        <v>68</v>
      </c>
      <c r="E35" s="4" t="s">
        <v>69</v>
      </c>
      <c r="F35" s="4" t="s">
        <v>60</v>
      </c>
      <c r="G35" s="4" t="s">
        <v>7</v>
      </c>
      <c r="H35" s="4" t="s">
        <v>204</v>
      </c>
      <c r="I35" s="4" t="s">
        <v>72</v>
      </c>
      <c r="J35" s="4" t="s">
        <v>70</v>
      </c>
      <c r="K35" s="4" t="s">
        <v>206</v>
      </c>
      <c r="L35" s="4" t="s">
        <v>62</v>
      </c>
      <c r="M35" s="4" t="s">
        <v>207</v>
      </c>
    </row>
    <row r="36" ht="22.5" customHeight="1">
      <c r="A36" s="12" t="s">
        <v>482</v>
      </c>
      <c r="B36" s="12" t="s">
        <v>474</v>
      </c>
      <c r="C36" s="13" t="s">
        <v>106</v>
      </c>
      <c r="D36" s="15">
        <v>46327.0</v>
      </c>
      <c r="E36" s="15">
        <v>46340.0</v>
      </c>
      <c r="F36" s="13" t="s">
        <v>75</v>
      </c>
      <c r="G36" s="16"/>
      <c r="H36" s="28" t="s">
        <v>924</v>
      </c>
      <c r="I36" s="13" t="s">
        <v>81</v>
      </c>
      <c r="J36" s="27"/>
      <c r="K36" s="12" t="s">
        <v>919</v>
      </c>
      <c r="L36" s="17"/>
      <c r="M36" s="16" t="str">
        <f t="shared" ref="M36:M40" si="7">"A04 - Undertray"</f>
        <v>A04 - Undertray</v>
      </c>
    </row>
    <row r="37" ht="22.5" customHeight="1">
      <c r="A37" s="12" t="s">
        <v>483</v>
      </c>
      <c r="B37" s="12" t="s">
        <v>476</v>
      </c>
      <c r="C37" s="13" t="s">
        <v>106</v>
      </c>
      <c r="D37" s="15">
        <v>46388.0</v>
      </c>
      <c r="E37" s="15">
        <v>46419.0</v>
      </c>
      <c r="F37" s="13" t="s">
        <v>75</v>
      </c>
      <c r="G37" s="16"/>
      <c r="H37" s="28" t="s">
        <v>924</v>
      </c>
      <c r="I37" s="13" t="s">
        <v>81</v>
      </c>
      <c r="J37" s="27"/>
      <c r="K37" s="12" t="s">
        <v>920</v>
      </c>
      <c r="L37" s="17"/>
      <c r="M37" s="16" t="str">
        <f t="shared" si="7"/>
        <v>A04 - Undertray</v>
      </c>
    </row>
    <row r="38" ht="22.5" customHeight="1">
      <c r="A38" s="12"/>
      <c r="B38" s="12"/>
      <c r="C38" s="30" t="str">
        <f t="shared" ref="C38:C40" si="8">"Aerodynamics"</f>
        <v>Aerodynamics</v>
      </c>
      <c r="D38" s="14"/>
      <c r="E38" s="14"/>
      <c r="F38" s="30"/>
      <c r="G38" s="16"/>
      <c r="H38" s="17"/>
      <c r="I38" s="30"/>
      <c r="J38" s="27"/>
      <c r="K38" s="17"/>
      <c r="L38" s="17"/>
      <c r="M38" s="16" t="str">
        <f t="shared" si="7"/>
        <v>A04 - Undertray</v>
      </c>
    </row>
    <row r="39" ht="22.5" customHeight="1">
      <c r="A39" s="12"/>
      <c r="B39" s="12"/>
      <c r="C39" s="30" t="str">
        <f t="shared" si="8"/>
        <v>Aerodynamics</v>
      </c>
      <c r="D39" s="14"/>
      <c r="E39" s="14"/>
      <c r="F39" s="30"/>
      <c r="G39" s="16"/>
      <c r="H39" s="17"/>
      <c r="I39" s="30"/>
      <c r="J39" s="27"/>
      <c r="K39" s="17"/>
      <c r="L39" s="17"/>
      <c r="M39" s="16" t="str">
        <f t="shared" si="7"/>
        <v>A04 - Undertray</v>
      </c>
    </row>
    <row r="40" ht="22.5" customHeight="1">
      <c r="A40" s="12"/>
      <c r="B40" s="12"/>
      <c r="C40" s="30" t="str">
        <f t="shared" si="8"/>
        <v>Aerodynamics</v>
      </c>
      <c r="D40" s="14"/>
      <c r="E40" s="14"/>
      <c r="F40" s="30"/>
      <c r="G40" s="16"/>
      <c r="H40" s="17"/>
      <c r="I40" s="30"/>
      <c r="J40" s="27"/>
      <c r="K40" s="17"/>
      <c r="L40" s="17"/>
      <c r="M40" s="16" t="str">
        <f t="shared" si="7"/>
        <v>A04 - Undertray</v>
      </c>
    </row>
    <row r="41" ht="1.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</row>
    <row r="42">
      <c r="A42" s="26"/>
    </row>
    <row r="43">
      <c r="A43" s="26"/>
      <c r="B43" s="26"/>
    </row>
    <row r="44" ht="22.5" customHeight="1">
      <c r="A44" s="4" t="s">
        <v>58</v>
      </c>
      <c r="B44" s="4" t="s">
        <v>67</v>
      </c>
      <c r="C44" s="4" t="s">
        <v>0</v>
      </c>
      <c r="D44" s="4" t="s">
        <v>68</v>
      </c>
      <c r="E44" s="4" t="s">
        <v>69</v>
      </c>
      <c r="F44" s="4" t="s">
        <v>60</v>
      </c>
      <c r="G44" s="4" t="s">
        <v>7</v>
      </c>
      <c r="H44" s="4" t="s">
        <v>204</v>
      </c>
      <c r="I44" s="4" t="s">
        <v>72</v>
      </c>
      <c r="J44" s="4" t="s">
        <v>70</v>
      </c>
      <c r="K44" s="4" t="s">
        <v>206</v>
      </c>
      <c r="L44" s="4" t="s">
        <v>62</v>
      </c>
      <c r="M44" s="4" t="s">
        <v>207</v>
      </c>
    </row>
    <row r="45" ht="22.5" customHeight="1">
      <c r="A45" s="12" t="s">
        <v>484</v>
      </c>
      <c r="B45" s="12" t="s">
        <v>485</v>
      </c>
      <c r="C45" s="13" t="s">
        <v>106</v>
      </c>
      <c r="D45" s="15">
        <v>46311.0</v>
      </c>
      <c r="E45" s="15">
        <v>46319.0</v>
      </c>
      <c r="F45" s="13" t="s">
        <v>75</v>
      </c>
      <c r="G45" s="16"/>
      <c r="H45" s="28" t="s">
        <v>927</v>
      </c>
      <c r="I45" s="13" t="s">
        <v>81</v>
      </c>
      <c r="J45" s="27"/>
      <c r="K45" s="12" t="s">
        <v>928</v>
      </c>
      <c r="L45" s="17"/>
      <c r="M45" s="16" t="str">
        <f t="shared" ref="M45:M49" si="9">"A05 - Auxiliary Elements"</f>
        <v>A05 - Auxiliary Elements</v>
      </c>
    </row>
    <row r="46" ht="22.5" customHeight="1">
      <c r="A46" s="12" t="s">
        <v>486</v>
      </c>
      <c r="B46" s="12" t="s">
        <v>487</v>
      </c>
      <c r="C46" s="13" t="s">
        <v>106</v>
      </c>
      <c r="D46" s="15">
        <v>46319.0</v>
      </c>
      <c r="E46" s="15">
        <v>46447.0</v>
      </c>
      <c r="F46" s="13" t="s">
        <v>75</v>
      </c>
      <c r="G46" s="16"/>
      <c r="H46" s="28" t="s">
        <v>927</v>
      </c>
      <c r="I46" s="13" t="s">
        <v>81</v>
      </c>
      <c r="J46" s="27"/>
      <c r="K46" s="12" t="s">
        <v>929</v>
      </c>
      <c r="L46" s="17"/>
      <c r="M46" s="16" t="str">
        <f t="shared" si="9"/>
        <v>A05 - Auxiliary Elements</v>
      </c>
    </row>
    <row r="47" ht="22.5" customHeight="1">
      <c r="A47" s="12"/>
      <c r="B47" s="12"/>
      <c r="C47" s="30" t="str">
        <f t="shared" ref="C47:C49" si="10">"Aerodynamics"</f>
        <v>Aerodynamics</v>
      </c>
      <c r="D47" s="14"/>
      <c r="E47" s="14"/>
      <c r="F47" s="30"/>
      <c r="G47" s="16"/>
      <c r="H47" s="17"/>
      <c r="I47" s="30"/>
      <c r="J47" s="27"/>
      <c r="K47" s="17"/>
      <c r="L47" s="17"/>
      <c r="M47" s="16" t="str">
        <f t="shared" si="9"/>
        <v>A05 - Auxiliary Elements</v>
      </c>
    </row>
    <row r="48" ht="22.5" customHeight="1">
      <c r="A48" s="12"/>
      <c r="B48" s="12"/>
      <c r="C48" s="30" t="str">
        <f t="shared" si="10"/>
        <v>Aerodynamics</v>
      </c>
      <c r="D48" s="14"/>
      <c r="E48" s="14"/>
      <c r="F48" s="30"/>
      <c r="G48" s="16"/>
      <c r="H48" s="17"/>
      <c r="I48" s="30"/>
      <c r="J48" s="27"/>
      <c r="K48" s="17"/>
      <c r="L48" s="17"/>
      <c r="M48" s="16" t="str">
        <f t="shared" si="9"/>
        <v>A05 - Auxiliary Elements</v>
      </c>
    </row>
    <row r="49" ht="22.5" customHeight="1">
      <c r="A49" s="12"/>
      <c r="B49" s="12"/>
      <c r="C49" s="30" t="str">
        <f t="shared" si="10"/>
        <v>Aerodynamics</v>
      </c>
      <c r="D49" s="14"/>
      <c r="E49" s="14"/>
      <c r="F49" s="30"/>
      <c r="G49" s="16"/>
      <c r="H49" s="17"/>
      <c r="I49" s="30"/>
      <c r="J49" s="27"/>
      <c r="K49" s="17"/>
      <c r="L49" s="17"/>
      <c r="M49" s="16" t="str">
        <f t="shared" si="9"/>
        <v>A05 - Auxiliary Elements</v>
      </c>
    </row>
    <row r="50" ht="1.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</row>
    <row r="51">
      <c r="A51" s="26"/>
    </row>
    <row r="52">
      <c r="A52" s="26"/>
      <c r="B52" s="26"/>
    </row>
    <row r="53" ht="22.5" customHeight="1">
      <c r="A53" s="4" t="s">
        <v>58</v>
      </c>
      <c r="B53" s="4" t="s">
        <v>67</v>
      </c>
      <c r="C53" s="4" t="s">
        <v>0</v>
      </c>
      <c r="D53" s="4" t="s">
        <v>68</v>
      </c>
      <c r="E53" s="4" t="s">
        <v>69</v>
      </c>
      <c r="F53" s="4" t="s">
        <v>60</v>
      </c>
      <c r="G53" s="4" t="s">
        <v>7</v>
      </c>
      <c r="H53" s="4" t="s">
        <v>204</v>
      </c>
      <c r="I53" s="4" t="s">
        <v>72</v>
      </c>
      <c r="J53" s="4" t="s">
        <v>70</v>
      </c>
      <c r="K53" s="4" t="s">
        <v>206</v>
      </c>
      <c r="L53" s="4" t="s">
        <v>62</v>
      </c>
      <c r="M53" s="4" t="s">
        <v>207</v>
      </c>
    </row>
    <row r="54" ht="22.5" customHeight="1">
      <c r="A54" s="12" t="s">
        <v>488</v>
      </c>
      <c r="B54" s="12" t="s">
        <v>485</v>
      </c>
      <c r="C54" s="13" t="s">
        <v>106</v>
      </c>
      <c r="D54" s="15">
        <v>46311.0</v>
      </c>
      <c r="E54" s="15">
        <v>46319.0</v>
      </c>
      <c r="F54" s="13" t="s">
        <v>75</v>
      </c>
      <c r="G54" s="16"/>
      <c r="H54" s="28" t="s">
        <v>933</v>
      </c>
      <c r="I54" s="13" t="s">
        <v>81</v>
      </c>
      <c r="J54" s="27"/>
      <c r="K54" s="12" t="s">
        <v>928</v>
      </c>
      <c r="L54" s="17"/>
      <c r="M54" s="16" t="str">
        <f t="shared" ref="M54:M58" si="11">"A06 - Sidepod"</f>
        <v>A06 - Sidepod</v>
      </c>
    </row>
    <row r="55" ht="22.5" customHeight="1">
      <c r="A55" s="12" t="s">
        <v>489</v>
      </c>
      <c r="B55" s="12" t="s">
        <v>487</v>
      </c>
      <c r="C55" s="13" t="s">
        <v>106</v>
      </c>
      <c r="D55" s="15">
        <v>46319.0</v>
      </c>
      <c r="E55" s="15">
        <v>46447.0</v>
      </c>
      <c r="F55" s="13" t="s">
        <v>75</v>
      </c>
      <c r="G55" s="16"/>
      <c r="H55" s="28" t="s">
        <v>933</v>
      </c>
      <c r="I55" s="13" t="s">
        <v>81</v>
      </c>
      <c r="J55" s="27"/>
      <c r="K55" s="12" t="s">
        <v>929</v>
      </c>
      <c r="L55" s="17"/>
      <c r="M55" s="16" t="str">
        <f t="shared" si="11"/>
        <v>A06 - Sidepod</v>
      </c>
    </row>
    <row r="56" ht="22.5" customHeight="1">
      <c r="A56" s="12"/>
      <c r="B56" s="12"/>
      <c r="C56" s="30" t="str">
        <f t="shared" ref="C56:C58" si="12">"Aerodynamics"</f>
        <v>Aerodynamics</v>
      </c>
      <c r="D56" s="14"/>
      <c r="E56" s="14"/>
      <c r="F56" s="30"/>
      <c r="G56" s="16"/>
      <c r="H56" s="17"/>
      <c r="I56" s="30"/>
      <c r="J56" s="27"/>
      <c r="K56" s="17"/>
      <c r="L56" s="17"/>
      <c r="M56" s="16" t="str">
        <f t="shared" si="11"/>
        <v>A06 - Sidepod</v>
      </c>
    </row>
    <row r="57" ht="22.5" customHeight="1">
      <c r="A57" s="12"/>
      <c r="B57" s="12"/>
      <c r="C57" s="30" t="str">
        <f t="shared" si="12"/>
        <v>Aerodynamics</v>
      </c>
      <c r="D57" s="14"/>
      <c r="E57" s="14"/>
      <c r="F57" s="30"/>
      <c r="G57" s="16"/>
      <c r="H57" s="17"/>
      <c r="I57" s="30"/>
      <c r="J57" s="27"/>
      <c r="K57" s="17"/>
      <c r="L57" s="17"/>
      <c r="M57" s="16" t="str">
        <f t="shared" si="11"/>
        <v>A06 - Sidepod</v>
      </c>
    </row>
    <row r="58" ht="22.5" customHeight="1">
      <c r="A58" s="12"/>
      <c r="B58" s="12"/>
      <c r="C58" s="30" t="str">
        <f t="shared" si="12"/>
        <v>Aerodynamics</v>
      </c>
      <c r="D58" s="14"/>
      <c r="E58" s="14"/>
      <c r="F58" s="30"/>
      <c r="G58" s="16"/>
      <c r="H58" s="17"/>
      <c r="I58" s="30"/>
      <c r="J58" s="27"/>
      <c r="K58" s="17"/>
      <c r="L58" s="17"/>
      <c r="M58" s="16" t="str">
        <f t="shared" si="11"/>
        <v>A06 - Sidepod</v>
      </c>
    </row>
    <row r="59" ht="1.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</row>
    <row r="60">
      <c r="A60" s="26"/>
    </row>
    <row r="61">
      <c r="A61" s="26"/>
      <c r="B61" s="26"/>
    </row>
    <row r="62" ht="22.5" customHeight="1">
      <c r="A62" s="4" t="s">
        <v>58</v>
      </c>
      <c r="B62" s="4" t="s">
        <v>67</v>
      </c>
      <c r="C62" s="4" t="s">
        <v>0</v>
      </c>
      <c r="D62" s="4" t="s">
        <v>68</v>
      </c>
      <c r="E62" s="4" t="s">
        <v>69</v>
      </c>
      <c r="F62" s="4" t="s">
        <v>60</v>
      </c>
      <c r="G62" s="4" t="s">
        <v>7</v>
      </c>
      <c r="H62" s="4" t="s">
        <v>204</v>
      </c>
      <c r="I62" s="4" t="s">
        <v>72</v>
      </c>
      <c r="J62" s="4" t="s">
        <v>70</v>
      </c>
      <c r="K62" s="4" t="s">
        <v>206</v>
      </c>
      <c r="L62" s="4" t="s">
        <v>62</v>
      </c>
      <c r="M62" s="4" t="s">
        <v>207</v>
      </c>
    </row>
    <row r="63" ht="22.5" customHeight="1">
      <c r="A63" s="12" t="s">
        <v>490</v>
      </c>
      <c r="B63" s="12" t="s">
        <v>491</v>
      </c>
      <c r="C63" s="30" t="str">
        <f t="shared" ref="C63:C67" si="13">"Aerodynamics"</f>
        <v>Aerodynamics</v>
      </c>
      <c r="D63" s="15">
        <v>46258.0</v>
      </c>
      <c r="E63" s="15">
        <v>46289.0</v>
      </c>
      <c r="F63" s="13" t="s">
        <v>75</v>
      </c>
      <c r="G63" s="16"/>
      <c r="H63" s="28" t="s">
        <v>935</v>
      </c>
      <c r="I63" s="13" t="s">
        <v>81</v>
      </c>
      <c r="J63" s="27"/>
      <c r="K63" s="12" t="s">
        <v>936</v>
      </c>
      <c r="L63" s="17"/>
      <c r="M63" s="16" t="str">
        <f t="shared" ref="M63:M67" si="14">"A07 - CFD"</f>
        <v>A07 - CFD</v>
      </c>
    </row>
    <row r="64" ht="22.5" customHeight="1">
      <c r="A64" s="12"/>
      <c r="B64" s="12"/>
      <c r="C64" s="30" t="str">
        <f t="shared" si="13"/>
        <v>Aerodynamics</v>
      </c>
      <c r="D64" s="14"/>
      <c r="E64" s="14"/>
      <c r="F64" s="30"/>
      <c r="G64" s="16"/>
      <c r="H64" s="17"/>
      <c r="I64" s="30"/>
      <c r="J64" s="27"/>
      <c r="K64" s="17"/>
      <c r="L64" s="17"/>
      <c r="M64" s="16" t="str">
        <f t="shared" si="14"/>
        <v>A07 - CFD</v>
      </c>
    </row>
    <row r="65" ht="22.5" customHeight="1">
      <c r="A65" s="12"/>
      <c r="B65" s="12"/>
      <c r="C65" s="30" t="str">
        <f t="shared" si="13"/>
        <v>Aerodynamics</v>
      </c>
      <c r="D65" s="14"/>
      <c r="E65" s="14"/>
      <c r="F65" s="30"/>
      <c r="G65" s="16"/>
      <c r="H65" s="17"/>
      <c r="I65" s="30"/>
      <c r="J65" s="27"/>
      <c r="K65" s="17"/>
      <c r="L65" s="17"/>
      <c r="M65" s="16" t="str">
        <f t="shared" si="14"/>
        <v>A07 - CFD</v>
      </c>
    </row>
    <row r="66" ht="22.5" customHeight="1">
      <c r="A66" s="12"/>
      <c r="B66" s="12"/>
      <c r="C66" s="30" t="str">
        <f t="shared" si="13"/>
        <v>Aerodynamics</v>
      </c>
      <c r="D66" s="14"/>
      <c r="E66" s="14"/>
      <c r="F66" s="30"/>
      <c r="G66" s="16"/>
      <c r="H66" s="17"/>
      <c r="I66" s="30"/>
      <c r="J66" s="27"/>
      <c r="K66" s="17"/>
      <c r="L66" s="17"/>
      <c r="M66" s="16" t="str">
        <f t="shared" si="14"/>
        <v>A07 - CFD</v>
      </c>
    </row>
    <row r="67" ht="22.5" customHeight="1">
      <c r="A67" s="12"/>
      <c r="B67" s="12"/>
      <c r="C67" s="30" t="str">
        <f t="shared" si="13"/>
        <v>Aerodynamics</v>
      </c>
      <c r="D67" s="14"/>
      <c r="E67" s="14"/>
      <c r="F67" s="30"/>
      <c r="G67" s="16"/>
      <c r="H67" s="17"/>
      <c r="I67" s="30"/>
      <c r="J67" s="27"/>
      <c r="K67" s="17"/>
      <c r="L67" s="17"/>
      <c r="M67" s="16" t="str">
        <f t="shared" si="14"/>
        <v>A07 - CFD</v>
      </c>
    </row>
    <row r="68" ht="1.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</row>
    <row r="69">
      <c r="A69" s="26"/>
    </row>
    <row r="70">
      <c r="A70" s="26"/>
      <c r="B70" s="26"/>
    </row>
    <row r="71" ht="22.5" customHeight="1">
      <c r="A71" s="4" t="s">
        <v>58</v>
      </c>
      <c r="B71" s="4" t="s">
        <v>67</v>
      </c>
      <c r="C71" s="4" t="s">
        <v>0</v>
      </c>
      <c r="D71" s="4" t="s">
        <v>68</v>
      </c>
      <c r="E71" s="4" t="s">
        <v>69</v>
      </c>
      <c r="F71" s="4" t="s">
        <v>60</v>
      </c>
      <c r="G71" s="4" t="s">
        <v>7</v>
      </c>
      <c r="H71" s="4" t="s">
        <v>204</v>
      </c>
      <c r="I71" s="4" t="s">
        <v>72</v>
      </c>
      <c r="J71" s="4" t="s">
        <v>70</v>
      </c>
      <c r="K71" s="4" t="s">
        <v>206</v>
      </c>
      <c r="L71" s="4" t="s">
        <v>62</v>
      </c>
      <c r="M71" s="4" t="s">
        <v>207</v>
      </c>
    </row>
    <row r="72" ht="22.5" customHeight="1">
      <c r="A72" s="12"/>
      <c r="B72" s="12"/>
      <c r="C72" s="30" t="str">
        <f t="shared" ref="C72:C76" si="15">"Aerodynamics"</f>
        <v>Aerodynamics</v>
      </c>
      <c r="D72" s="14"/>
      <c r="E72" s="14"/>
      <c r="F72" s="30"/>
      <c r="G72" s="16"/>
      <c r="H72" s="17"/>
      <c r="I72" s="30"/>
      <c r="J72" s="27"/>
      <c r="K72" s="17"/>
      <c r="L72" s="17"/>
      <c r="M72" s="16" t="str">
        <f t="shared" ref="M72:M76" si="16">"A08 - Other Aerodynamics"</f>
        <v>A08 - Other Aerodynamics</v>
      </c>
    </row>
    <row r="73" ht="22.5" customHeight="1">
      <c r="A73" s="12"/>
      <c r="B73" s="12"/>
      <c r="C73" s="30" t="str">
        <f t="shared" si="15"/>
        <v>Aerodynamics</v>
      </c>
      <c r="D73" s="14"/>
      <c r="E73" s="14"/>
      <c r="F73" s="30"/>
      <c r="G73" s="16"/>
      <c r="H73" s="17"/>
      <c r="I73" s="30"/>
      <c r="J73" s="27"/>
      <c r="K73" s="17"/>
      <c r="L73" s="17"/>
      <c r="M73" s="16" t="str">
        <f t="shared" si="16"/>
        <v>A08 - Other Aerodynamics</v>
      </c>
    </row>
    <row r="74" ht="22.5" customHeight="1">
      <c r="A74" s="12"/>
      <c r="B74" s="12"/>
      <c r="C74" s="30" t="str">
        <f t="shared" si="15"/>
        <v>Aerodynamics</v>
      </c>
      <c r="D74" s="14"/>
      <c r="E74" s="14"/>
      <c r="F74" s="30"/>
      <c r="G74" s="16"/>
      <c r="H74" s="17"/>
      <c r="I74" s="30"/>
      <c r="J74" s="27"/>
      <c r="K74" s="17"/>
      <c r="L74" s="17"/>
      <c r="M74" s="16" t="str">
        <f t="shared" si="16"/>
        <v>A08 - Other Aerodynamics</v>
      </c>
    </row>
    <row r="75" ht="22.5" customHeight="1">
      <c r="A75" s="12"/>
      <c r="B75" s="12"/>
      <c r="C75" s="30" t="str">
        <f t="shared" si="15"/>
        <v>Aerodynamics</v>
      </c>
      <c r="D75" s="14"/>
      <c r="E75" s="14"/>
      <c r="F75" s="30"/>
      <c r="G75" s="16"/>
      <c r="H75" s="17"/>
      <c r="I75" s="30"/>
      <c r="J75" s="27"/>
      <c r="K75" s="17"/>
      <c r="L75" s="17"/>
      <c r="M75" s="16" t="str">
        <f t="shared" si="16"/>
        <v>A08 - Other Aerodynamics</v>
      </c>
    </row>
    <row r="76" ht="22.5" customHeight="1">
      <c r="A76" s="12"/>
      <c r="B76" s="12"/>
      <c r="C76" s="30" t="str">
        <f t="shared" si="15"/>
        <v>Aerodynamics</v>
      </c>
      <c r="D76" s="14"/>
      <c r="E76" s="14"/>
      <c r="F76" s="30"/>
      <c r="G76" s="16"/>
      <c r="H76" s="17"/>
      <c r="I76" s="30"/>
      <c r="J76" s="27"/>
      <c r="K76" s="17"/>
      <c r="L76" s="17"/>
      <c r="M76" s="16" t="str">
        <f t="shared" si="16"/>
        <v>A08 - Other Aerodynamics</v>
      </c>
    </row>
    <row r="77" ht="1.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</row>
    <row r="78">
      <c r="A78" s="26"/>
    </row>
  </sheetData>
  <mergeCells count="16">
    <mergeCell ref="B1:M1"/>
    <mergeCell ref="A15:M15"/>
    <mergeCell ref="B16:M16"/>
    <mergeCell ref="A24:M24"/>
    <mergeCell ref="B25:M25"/>
    <mergeCell ref="A33:M33"/>
    <mergeCell ref="B34:M34"/>
    <mergeCell ref="B70:M70"/>
    <mergeCell ref="A78:M78"/>
    <mergeCell ref="A42:M42"/>
    <mergeCell ref="B43:M43"/>
    <mergeCell ref="A51:M51"/>
    <mergeCell ref="B52:M52"/>
    <mergeCell ref="A60:M60"/>
    <mergeCell ref="B61:M61"/>
    <mergeCell ref="A69:M69"/>
  </mergeCells>
  <dataValidations>
    <dataValidation type="list" allowBlank="1" sqref="J3:J13 J18:J22 J27:J31 J36:J40 J45:J49 J54:J58 J63:J67 J72:J76">
      <formula1>#REF!</formula1>
    </dataValidation>
    <dataValidation type="list" allowBlank="1" sqref="F3:F13 F18:F22 F27:F31 F36:F40 F45:F49 F54:F58 F63:F67 F72:F76">
      <formula1>#REF!</formula1>
    </dataValidation>
    <dataValidation type="custom" allowBlank="1" showDropDown="1" sqref="D3:E13 D18:E22 D27:E31 D36:E40 D45:E49 D54:E58 D63:E67 D72:E76">
      <formula1>OR(NOT(ISERROR(DATEVALUE(D3))), AND(ISNUMBER(D3), LEFT(CELL("format", D3))="D"))</formula1>
    </dataValidation>
    <dataValidation type="list" allowBlank="1" sqref="I3:I13 I18:I22 I27:I31 I36:I40 I45:I49 I54:I58 I63:I67 I72:I76">
      <formula1>#REF!</formula1>
    </dataValidation>
    <dataValidation allowBlank="1" showDropDown="1" sqref="B3:B13 K3:L13 B18:B22 K18:L22 B27:B31 K27:L31 B36:B40 K36:L40 B45:B49 K45:L49 B54:B58 K54:L58 B63:B67 K63:L67 B72:B76 K72:L76"/>
    <dataValidation allowBlank="1" showDropDown="1" sqref="A3:A13 A18:A22 A27:A31 A36:A40 A45:A49 A54:A58 A63:A67 A72:A76"/>
    <dataValidation type="list" allowBlank="1" sqref="G3:G13 M3:M13 G18:G22 M18:M22 G27:G31 M27:M31 G36:G40 M36:M40 G45:G49 M45:M49 G54:G58 M54:M58 G63:G67 M63:M67 G72:G76 M72:M76">
      <formula1>#REF!</formula1>
    </dataValidation>
    <dataValidation type="list" allowBlank="1" sqref="C3:C13 C18:C22 C27:C31 C36:C40 C45:C49 C54:C58 C63:C67 C72:C76">
      <formula1>#REF!</formula1>
    </dataValidation>
  </dataValidation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8"/>
    <hyperlink r:id="rId11" ref="H19"/>
    <hyperlink r:id="rId12" ref="H20"/>
    <hyperlink r:id="rId13" ref="H27"/>
    <hyperlink r:id="rId14" ref="H28"/>
    <hyperlink r:id="rId15" ref="H29"/>
    <hyperlink r:id="rId16" ref="H36"/>
    <hyperlink r:id="rId17" ref="H37"/>
    <hyperlink r:id="rId18" ref="H45"/>
    <hyperlink r:id="rId19" ref="H46"/>
    <hyperlink r:id="rId20" ref="H54"/>
    <hyperlink r:id="rId21" ref="H55"/>
    <hyperlink r:id="rId22" ref="H63"/>
  </hyperlinks>
  <drawing r:id="rId23"/>
  <tableParts count="8"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B7AE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7.0"/>
    <col customWidth="1" hidden="1" min="3" max="3" width="16.38"/>
    <col customWidth="1" min="4" max="5" width="13.88"/>
    <col customWidth="1" min="6" max="6" width="14.38"/>
    <col customWidth="1" min="7" max="7" width="17.0"/>
    <col customWidth="1" min="8" max="8" width="17.63"/>
    <col customWidth="1" min="9" max="9" width="14.0"/>
    <col customWidth="1" min="10" max="10" width="19.5"/>
    <col customWidth="1" min="11" max="12" width="25.13"/>
    <col customWidth="1" hidden="1" min="13" max="13" width="25.13"/>
  </cols>
  <sheetData>
    <row r="1">
      <c r="A1" s="26"/>
      <c r="B1" s="26"/>
    </row>
    <row r="2" ht="22.5" customHeight="1">
      <c r="A2" s="4" t="s">
        <v>58</v>
      </c>
      <c r="B2" s="4" t="s">
        <v>67</v>
      </c>
      <c r="C2" s="4" t="s">
        <v>0</v>
      </c>
      <c r="D2" s="4" t="s">
        <v>68</v>
      </c>
      <c r="E2" s="4" t="s">
        <v>69</v>
      </c>
      <c r="F2" s="4" t="s">
        <v>60</v>
      </c>
      <c r="G2" s="4" t="s">
        <v>7</v>
      </c>
      <c r="H2" s="4" t="s">
        <v>204</v>
      </c>
      <c r="I2" s="4" t="s">
        <v>72</v>
      </c>
      <c r="J2" s="4" t="s">
        <v>70</v>
      </c>
      <c r="K2" s="4" t="s">
        <v>206</v>
      </c>
      <c r="L2" s="4" t="s">
        <v>62</v>
      </c>
      <c r="M2" s="4" t="s">
        <v>207</v>
      </c>
    </row>
    <row r="3" ht="22.5" customHeight="1">
      <c r="A3" s="12" t="s">
        <v>492</v>
      </c>
      <c r="B3" s="12" t="s">
        <v>493</v>
      </c>
      <c r="C3" s="13" t="s">
        <v>109</v>
      </c>
      <c r="D3" s="15">
        <v>46272.0</v>
      </c>
      <c r="E3" s="15">
        <v>46295.0</v>
      </c>
      <c r="F3" s="13" t="s">
        <v>75</v>
      </c>
      <c r="G3" s="16"/>
      <c r="H3" s="28" t="s">
        <v>923</v>
      </c>
      <c r="I3" s="13" t="s">
        <v>76</v>
      </c>
      <c r="J3" s="27"/>
      <c r="K3" s="17"/>
      <c r="L3" s="17"/>
      <c r="M3" s="16" t="str">
        <f t="shared" ref="M3:M8" si="1">"A01 - Ergonomics"</f>
        <v>A01 - Ergonomics</v>
      </c>
    </row>
    <row r="4" ht="22.5" customHeight="1">
      <c r="A4" s="12" t="s">
        <v>494</v>
      </c>
      <c r="B4" s="12" t="s">
        <v>495</v>
      </c>
      <c r="C4" s="13" t="s">
        <v>109</v>
      </c>
      <c r="D4" s="15">
        <v>46266.0</v>
      </c>
      <c r="E4" s="15">
        <v>46277.0</v>
      </c>
      <c r="F4" s="13" t="s">
        <v>75</v>
      </c>
      <c r="G4" s="16"/>
      <c r="H4" s="28" t="s">
        <v>923</v>
      </c>
      <c r="I4" s="13" t="s">
        <v>81</v>
      </c>
      <c r="J4" s="27"/>
      <c r="K4" s="17"/>
      <c r="L4" s="17"/>
      <c r="M4" s="16" t="str">
        <f t="shared" si="1"/>
        <v>A01 - Ergonomics</v>
      </c>
    </row>
    <row r="5" ht="22.5" customHeight="1">
      <c r="A5" s="12" t="s">
        <v>497</v>
      </c>
      <c r="B5" s="12" t="s">
        <v>498</v>
      </c>
      <c r="C5" s="13" t="s">
        <v>109</v>
      </c>
      <c r="D5" s="15">
        <v>46265.0</v>
      </c>
      <c r="E5" s="15">
        <v>46265.0</v>
      </c>
      <c r="F5" s="13" t="s">
        <v>294</v>
      </c>
      <c r="G5" s="16"/>
      <c r="H5" s="28" t="s">
        <v>923</v>
      </c>
      <c r="I5" s="13" t="s">
        <v>81</v>
      </c>
      <c r="J5" s="27"/>
      <c r="K5" s="17"/>
      <c r="L5" s="17"/>
      <c r="M5" s="16" t="str">
        <f t="shared" si="1"/>
        <v>A01 - Ergonomics</v>
      </c>
    </row>
    <row r="6" ht="22.5" customHeight="1">
      <c r="A6" s="12" t="s">
        <v>499</v>
      </c>
      <c r="B6" s="12" t="s">
        <v>500</v>
      </c>
      <c r="C6" s="13" t="s">
        <v>109</v>
      </c>
      <c r="D6" s="15">
        <v>46265.0</v>
      </c>
      <c r="E6" s="15">
        <v>46267.0</v>
      </c>
      <c r="F6" s="13" t="s">
        <v>75</v>
      </c>
      <c r="G6" s="16"/>
      <c r="H6" s="28" t="s">
        <v>923</v>
      </c>
      <c r="I6" s="13" t="s">
        <v>81</v>
      </c>
      <c r="J6" s="27"/>
      <c r="K6" s="17"/>
      <c r="L6" s="17"/>
      <c r="M6" s="16" t="str">
        <f t="shared" si="1"/>
        <v>A01 - Ergonomics</v>
      </c>
    </row>
    <row r="7" ht="22.5" customHeight="1">
      <c r="A7" s="12"/>
      <c r="B7" s="12"/>
      <c r="C7" s="30"/>
      <c r="D7" s="15"/>
      <c r="E7" s="15"/>
      <c r="F7" s="30"/>
      <c r="G7" s="16"/>
      <c r="H7" s="12"/>
      <c r="I7" s="30"/>
      <c r="J7" s="27"/>
      <c r="K7" s="17"/>
      <c r="L7" s="17"/>
      <c r="M7" s="16" t="str">
        <f t="shared" si="1"/>
        <v>A01 - Ergonomics</v>
      </c>
    </row>
    <row r="8" ht="22.5" customHeight="1">
      <c r="A8" s="12"/>
      <c r="B8" s="12"/>
      <c r="C8" s="30"/>
      <c r="D8" s="15"/>
      <c r="E8" s="15"/>
      <c r="F8" s="30"/>
      <c r="G8" s="16"/>
      <c r="H8" s="12"/>
      <c r="I8" s="30"/>
      <c r="J8" s="27"/>
      <c r="K8" s="17"/>
      <c r="L8" s="17"/>
      <c r="M8" s="16" t="str">
        <f t="shared" si="1"/>
        <v>A01 - Ergonomics</v>
      </c>
    </row>
    <row r="9" ht="1.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</row>
    <row r="10">
      <c r="A10" s="26"/>
    </row>
    <row r="11">
      <c r="A11" s="26"/>
      <c r="B11" s="26"/>
    </row>
    <row r="12" ht="22.5" customHeight="1">
      <c r="A12" s="4" t="s">
        <v>58</v>
      </c>
      <c r="B12" s="4" t="s">
        <v>67</v>
      </c>
      <c r="C12" s="4" t="s">
        <v>0</v>
      </c>
      <c r="D12" s="4" t="s">
        <v>68</v>
      </c>
      <c r="E12" s="4" t="s">
        <v>69</v>
      </c>
      <c r="F12" s="4" t="s">
        <v>60</v>
      </c>
      <c r="G12" s="4" t="s">
        <v>7</v>
      </c>
      <c r="H12" s="4" t="s">
        <v>204</v>
      </c>
      <c r="I12" s="4" t="s">
        <v>72</v>
      </c>
      <c r="J12" s="4" t="s">
        <v>70</v>
      </c>
      <c r="K12" s="4" t="s">
        <v>206</v>
      </c>
      <c r="L12" s="4" t="s">
        <v>62</v>
      </c>
      <c r="M12" s="4" t="s">
        <v>207</v>
      </c>
    </row>
    <row r="13" ht="22.5" customHeight="1">
      <c r="A13" s="12" t="s">
        <v>501</v>
      </c>
      <c r="B13" s="12" t="s">
        <v>502</v>
      </c>
      <c r="C13" s="13" t="s">
        <v>109</v>
      </c>
      <c r="D13" s="15">
        <v>46266.0</v>
      </c>
      <c r="E13" s="15">
        <v>46295.0</v>
      </c>
      <c r="F13" s="13" t="s">
        <v>75</v>
      </c>
      <c r="G13" s="16"/>
      <c r="H13" s="28" t="s">
        <v>923</v>
      </c>
      <c r="I13" s="13" t="s">
        <v>81</v>
      </c>
      <c r="J13" s="27"/>
      <c r="K13" s="17"/>
      <c r="L13" s="17"/>
      <c r="M13" s="16" t="str">
        <f t="shared" ref="M13:M17" si="2">"A02 - Steering"</f>
        <v>A02 - Steering</v>
      </c>
    </row>
    <row r="14" ht="22.5" customHeight="1">
      <c r="A14" s="12" t="s">
        <v>503</v>
      </c>
      <c r="B14" s="12" t="s">
        <v>504</v>
      </c>
      <c r="C14" s="13" t="s">
        <v>109</v>
      </c>
      <c r="D14" s="15">
        <v>46401.0</v>
      </c>
      <c r="E14" s="15">
        <v>46403.0</v>
      </c>
      <c r="F14" s="13" t="s">
        <v>75</v>
      </c>
      <c r="G14" s="16"/>
      <c r="H14" s="28" t="s">
        <v>923</v>
      </c>
      <c r="I14" s="13" t="s">
        <v>76</v>
      </c>
      <c r="J14" s="27"/>
      <c r="K14" s="17"/>
      <c r="L14" s="17"/>
      <c r="M14" s="16" t="str">
        <f t="shared" si="2"/>
        <v>A02 - Steering</v>
      </c>
    </row>
    <row r="15" ht="22.5" customHeight="1">
      <c r="A15" s="12"/>
      <c r="B15" s="12"/>
      <c r="C15" s="30" t="str">
        <f t="shared" ref="C15:C17" si="3">"Ergonomics"</f>
        <v>Ergonomics</v>
      </c>
      <c r="D15" s="14"/>
      <c r="E15" s="14"/>
      <c r="F15" s="30"/>
      <c r="G15" s="16"/>
      <c r="H15" s="17"/>
      <c r="I15" s="30"/>
      <c r="J15" s="27"/>
      <c r="K15" s="17"/>
      <c r="L15" s="17"/>
      <c r="M15" s="16" t="str">
        <f t="shared" si="2"/>
        <v>A02 - Steering</v>
      </c>
    </row>
    <row r="16" ht="22.5" customHeight="1">
      <c r="A16" s="12"/>
      <c r="B16" s="12"/>
      <c r="C16" s="30" t="str">
        <f t="shared" si="3"/>
        <v>Ergonomics</v>
      </c>
      <c r="D16" s="14"/>
      <c r="E16" s="14"/>
      <c r="F16" s="30"/>
      <c r="G16" s="16"/>
      <c r="H16" s="17"/>
      <c r="I16" s="30"/>
      <c r="J16" s="27"/>
      <c r="K16" s="17"/>
      <c r="L16" s="17"/>
      <c r="M16" s="16" t="str">
        <f t="shared" si="2"/>
        <v>A02 - Steering</v>
      </c>
    </row>
    <row r="17" ht="22.5" customHeight="1">
      <c r="A17" s="12"/>
      <c r="B17" s="12"/>
      <c r="C17" s="30" t="str">
        <f t="shared" si="3"/>
        <v>Ergonomics</v>
      </c>
      <c r="D17" s="14"/>
      <c r="E17" s="14"/>
      <c r="F17" s="30"/>
      <c r="G17" s="16"/>
      <c r="H17" s="17"/>
      <c r="I17" s="30"/>
      <c r="J17" s="27"/>
      <c r="K17" s="17"/>
      <c r="L17" s="17"/>
      <c r="M17" s="16" t="str">
        <f t="shared" si="2"/>
        <v>A02 - Steering</v>
      </c>
    </row>
    <row r="18" ht="1.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>
      <c r="A19" s="26"/>
    </row>
    <row r="20">
      <c r="A20" s="26"/>
      <c r="B20" s="26"/>
    </row>
    <row r="21" ht="22.5" customHeight="1">
      <c r="A21" s="4" t="s">
        <v>58</v>
      </c>
      <c r="B21" s="4" t="s">
        <v>67</v>
      </c>
      <c r="C21" s="4" t="s">
        <v>0</v>
      </c>
      <c r="D21" s="4" t="s">
        <v>68</v>
      </c>
      <c r="E21" s="4" t="s">
        <v>69</v>
      </c>
      <c r="F21" s="4" t="s">
        <v>60</v>
      </c>
      <c r="G21" s="4" t="s">
        <v>7</v>
      </c>
      <c r="H21" s="4" t="s">
        <v>204</v>
      </c>
      <c r="I21" s="4" t="s">
        <v>72</v>
      </c>
      <c r="J21" s="4" t="s">
        <v>70</v>
      </c>
      <c r="K21" s="4" t="s">
        <v>206</v>
      </c>
      <c r="L21" s="4" t="s">
        <v>62</v>
      </c>
      <c r="M21" s="4" t="s">
        <v>207</v>
      </c>
    </row>
    <row r="22" ht="22.5" customHeight="1">
      <c r="A22" s="12" t="s">
        <v>505</v>
      </c>
      <c r="B22" s="12" t="s">
        <v>506</v>
      </c>
      <c r="C22" s="13" t="s">
        <v>109</v>
      </c>
      <c r="D22" s="15">
        <v>46266.0</v>
      </c>
      <c r="E22" s="15">
        <v>46277.0</v>
      </c>
      <c r="F22" s="13" t="s">
        <v>75</v>
      </c>
      <c r="G22" s="16"/>
      <c r="H22" s="28" t="s">
        <v>930</v>
      </c>
      <c r="I22" s="13" t="s">
        <v>81</v>
      </c>
      <c r="J22" s="27"/>
      <c r="K22" s="17"/>
      <c r="L22" s="17"/>
      <c r="M22" s="16" t="str">
        <f t="shared" ref="M22:M27" si="4">"A03 - Pedals"</f>
        <v>A03 - Pedals</v>
      </c>
    </row>
    <row r="23" ht="22.5" customHeight="1">
      <c r="A23" s="12" t="s">
        <v>507</v>
      </c>
      <c r="B23" s="12" t="s">
        <v>508</v>
      </c>
      <c r="C23" s="13" t="s">
        <v>109</v>
      </c>
      <c r="D23" s="15">
        <v>46402.0</v>
      </c>
      <c r="E23" s="15">
        <v>46404.0</v>
      </c>
      <c r="F23" s="13" t="s">
        <v>75</v>
      </c>
      <c r="G23" s="16"/>
      <c r="H23" s="28" t="s">
        <v>930</v>
      </c>
      <c r="I23" s="13" t="s">
        <v>76</v>
      </c>
      <c r="J23" s="27"/>
      <c r="K23" s="17"/>
      <c r="L23" s="17"/>
      <c r="M23" s="16" t="str">
        <f t="shared" si="4"/>
        <v>A03 - Pedals</v>
      </c>
    </row>
    <row r="24" ht="22.5" customHeight="1">
      <c r="A24" s="12" t="s">
        <v>509</v>
      </c>
      <c r="B24" s="12" t="s">
        <v>510</v>
      </c>
      <c r="C24" s="13" t="s">
        <v>109</v>
      </c>
      <c r="D24" s="14"/>
      <c r="E24" s="14"/>
      <c r="F24" s="30"/>
      <c r="G24" s="16"/>
      <c r="H24" s="28" t="s">
        <v>930</v>
      </c>
      <c r="I24" s="30"/>
      <c r="J24" s="27"/>
      <c r="K24" s="17"/>
      <c r="L24" s="17"/>
      <c r="M24" s="16" t="str">
        <f t="shared" si="4"/>
        <v>A03 - Pedals</v>
      </c>
    </row>
    <row r="25" ht="22.5" customHeight="1">
      <c r="A25" s="12" t="s">
        <v>511</v>
      </c>
      <c r="B25" s="12" t="s">
        <v>513</v>
      </c>
      <c r="C25" s="13" t="s">
        <v>109</v>
      </c>
      <c r="D25" s="14"/>
      <c r="E25" s="14"/>
      <c r="F25" s="30"/>
      <c r="G25" s="16"/>
      <c r="H25" s="28" t="s">
        <v>930</v>
      </c>
      <c r="I25" s="30"/>
      <c r="J25" s="27"/>
      <c r="K25" s="17"/>
      <c r="L25" s="17"/>
      <c r="M25" s="16" t="str">
        <f t="shared" si="4"/>
        <v>A03 - Pedals</v>
      </c>
    </row>
    <row r="26" ht="22.5" customHeight="1">
      <c r="A26" s="12"/>
      <c r="B26" s="12"/>
      <c r="C26" s="30"/>
      <c r="D26" s="14"/>
      <c r="E26" s="14"/>
      <c r="F26" s="30"/>
      <c r="G26" s="16"/>
      <c r="H26" s="17"/>
      <c r="I26" s="30"/>
      <c r="J26" s="27"/>
      <c r="K26" s="17"/>
      <c r="L26" s="17"/>
      <c r="M26" s="16" t="str">
        <f t="shared" si="4"/>
        <v>A03 - Pedals</v>
      </c>
    </row>
    <row r="27" ht="22.5" customHeight="1">
      <c r="A27" s="12"/>
      <c r="B27" s="12"/>
      <c r="C27" s="30"/>
      <c r="D27" s="14"/>
      <c r="E27" s="14"/>
      <c r="F27" s="30"/>
      <c r="G27" s="16"/>
      <c r="H27" s="17"/>
      <c r="I27" s="30"/>
      <c r="J27" s="27"/>
      <c r="K27" s="17"/>
      <c r="L27" s="17"/>
      <c r="M27" s="16" t="str">
        <f t="shared" si="4"/>
        <v>A03 - Pedals</v>
      </c>
    </row>
    <row r="28" ht="1.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>
      <c r="A29" s="26"/>
    </row>
    <row r="30">
      <c r="A30" s="26"/>
      <c r="B30" s="26"/>
    </row>
    <row r="31" ht="22.5" customHeight="1">
      <c r="A31" s="4" t="s">
        <v>58</v>
      </c>
      <c r="B31" s="4" t="s">
        <v>67</v>
      </c>
      <c r="C31" s="4" t="s">
        <v>0</v>
      </c>
      <c r="D31" s="4" t="s">
        <v>68</v>
      </c>
      <c r="E31" s="4" t="s">
        <v>69</v>
      </c>
      <c r="F31" s="4" t="s">
        <v>60</v>
      </c>
      <c r="G31" s="4" t="s">
        <v>7</v>
      </c>
      <c r="H31" s="4" t="s">
        <v>204</v>
      </c>
      <c r="I31" s="4" t="s">
        <v>72</v>
      </c>
      <c r="J31" s="4" t="s">
        <v>70</v>
      </c>
      <c r="K31" s="4" t="s">
        <v>206</v>
      </c>
      <c r="L31" s="4" t="s">
        <v>62</v>
      </c>
      <c r="M31" s="4" t="s">
        <v>207</v>
      </c>
    </row>
    <row r="32" ht="22.5" customHeight="1">
      <c r="A32" s="12" t="s">
        <v>514</v>
      </c>
      <c r="B32" s="12" t="s">
        <v>515</v>
      </c>
      <c r="C32" s="13" t="s">
        <v>109</v>
      </c>
      <c r="D32" s="15">
        <v>46313.0</v>
      </c>
      <c r="E32" s="15">
        <v>46319.0</v>
      </c>
      <c r="F32" s="13" t="s">
        <v>75</v>
      </c>
      <c r="G32" s="16"/>
      <c r="H32" s="28" t="s">
        <v>923</v>
      </c>
      <c r="I32" s="13" t="s">
        <v>81</v>
      </c>
      <c r="J32" s="27"/>
      <c r="K32" s="17"/>
      <c r="L32" s="17"/>
      <c r="M32" s="16" t="str">
        <f t="shared" ref="M32:M38" si="5">"A04 - Seat"</f>
        <v>A04 - Seat</v>
      </c>
    </row>
    <row r="33" ht="22.5" customHeight="1">
      <c r="A33" s="12" t="s">
        <v>516</v>
      </c>
      <c r="B33" s="12" t="s">
        <v>517</v>
      </c>
      <c r="C33" s="13" t="s">
        <v>109</v>
      </c>
      <c r="D33" s="15">
        <v>46320.0</v>
      </c>
      <c r="E33" s="15">
        <v>46326.0</v>
      </c>
      <c r="F33" s="13" t="s">
        <v>75</v>
      </c>
      <c r="G33" s="16"/>
      <c r="H33" s="28" t="s">
        <v>923</v>
      </c>
      <c r="I33" s="13" t="s">
        <v>81</v>
      </c>
      <c r="J33" s="27"/>
      <c r="K33" s="17"/>
      <c r="L33" s="17"/>
      <c r="M33" s="16" t="str">
        <f t="shared" si="5"/>
        <v>A04 - Seat</v>
      </c>
    </row>
    <row r="34" ht="22.5" customHeight="1">
      <c r="A34" s="12" t="s">
        <v>518</v>
      </c>
      <c r="B34" s="12" t="s">
        <v>519</v>
      </c>
      <c r="C34" s="13" t="s">
        <v>109</v>
      </c>
      <c r="D34" s="15">
        <v>46266.0</v>
      </c>
      <c r="E34" s="15">
        <v>46295.0</v>
      </c>
      <c r="F34" s="13" t="s">
        <v>75</v>
      </c>
      <c r="G34" s="16"/>
      <c r="H34" s="28" t="s">
        <v>923</v>
      </c>
      <c r="I34" s="13" t="s">
        <v>81</v>
      </c>
      <c r="J34" s="27"/>
      <c r="K34" s="17"/>
      <c r="L34" s="17"/>
      <c r="M34" s="16" t="str">
        <f t="shared" si="5"/>
        <v>A04 - Seat</v>
      </c>
    </row>
    <row r="35" ht="22.5" customHeight="1">
      <c r="A35" s="12" t="s">
        <v>520</v>
      </c>
      <c r="B35" s="12" t="s">
        <v>521</v>
      </c>
      <c r="C35" s="13" t="s">
        <v>109</v>
      </c>
      <c r="D35" s="15">
        <v>46342.0</v>
      </c>
      <c r="E35" s="15">
        <v>46353.0</v>
      </c>
      <c r="F35" s="13" t="s">
        <v>75</v>
      </c>
      <c r="G35" s="16"/>
      <c r="H35" s="28" t="s">
        <v>923</v>
      </c>
      <c r="I35" s="13" t="s">
        <v>81</v>
      </c>
      <c r="J35" s="27"/>
      <c r="K35" s="17"/>
      <c r="L35" s="17"/>
      <c r="M35" s="16" t="str">
        <f t="shared" si="5"/>
        <v>A04 - Seat</v>
      </c>
    </row>
    <row r="36" ht="22.5" customHeight="1">
      <c r="A36" s="12" t="s">
        <v>523</v>
      </c>
      <c r="B36" s="12" t="s">
        <v>524</v>
      </c>
      <c r="C36" s="13" t="s">
        <v>109</v>
      </c>
      <c r="D36" s="15">
        <v>46356.0</v>
      </c>
      <c r="E36" s="15">
        <v>46367.0</v>
      </c>
      <c r="F36" s="13" t="s">
        <v>75</v>
      </c>
      <c r="G36" s="16"/>
      <c r="H36" s="28" t="s">
        <v>923</v>
      </c>
      <c r="I36" s="13" t="s">
        <v>81</v>
      </c>
      <c r="J36" s="27"/>
      <c r="K36" s="17"/>
      <c r="L36" s="17"/>
      <c r="M36" s="16" t="str">
        <f t="shared" si="5"/>
        <v>A04 - Seat</v>
      </c>
    </row>
    <row r="37" ht="22.5" customHeight="1">
      <c r="A37" s="12"/>
      <c r="B37" s="12"/>
      <c r="C37" s="30" t="str">
        <f t="shared" ref="C37:C38" si="6">"Ergonomics"</f>
        <v>Ergonomics</v>
      </c>
      <c r="D37" s="14"/>
      <c r="E37" s="14"/>
      <c r="F37" s="30"/>
      <c r="G37" s="16"/>
      <c r="H37" s="17"/>
      <c r="I37" s="30"/>
      <c r="J37" s="27"/>
      <c r="K37" s="17"/>
      <c r="L37" s="17"/>
      <c r="M37" s="16" t="str">
        <f t="shared" si="5"/>
        <v>A04 - Seat</v>
      </c>
    </row>
    <row r="38" ht="22.5" customHeight="1">
      <c r="A38" s="12"/>
      <c r="B38" s="12"/>
      <c r="C38" s="30" t="str">
        <f t="shared" si="6"/>
        <v>Ergonomics</v>
      </c>
      <c r="D38" s="14"/>
      <c r="E38" s="14"/>
      <c r="F38" s="30"/>
      <c r="G38" s="16"/>
      <c r="H38" s="17"/>
      <c r="I38" s="30"/>
      <c r="J38" s="27"/>
      <c r="K38" s="17"/>
      <c r="L38" s="17"/>
      <c r="M38" s="16" t="str">
        <f t="shared" si="5"/>
        <v>A04 - Seat</v>
      </c>
    </row>
    <row r="39" ht="1.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>
      <c r="A40" s="26"/>
    </row>
    <row r="41">
      <c r="A41" s="26"/>
      <c r="B41" s="26"/>
    </row>
    <row r="42" ht="22.5" customHeight="1">
      <c r="A42" s="4" t="s">
        <v>58</v>
      </c>
      <c r="B42" s="4" t="s">
        <v>67</v>
      </c>
      <c r="C42" s="4" t="s">
        <v>0</v>
      </c>
      <c r="D42" s="4" t="s">
        <v>68</v>
      </c>
      <c r="E42" s="4" t="s">
        <v>69</v>
      </c>
      <c r="F42" s="4" t="s">
        <v>60</v>
      </c>
      <c r="G42" s="4" t="s">
        <v>7</v>
      </c>
      <c r="H42" s="4" t="s">
        <v>204</v>
      </c>
      <c r="I42" s="4" t="s">
        <v>72</v>
      </c>
      <c r="J42" s="4" t="s">
        <v>70</v>
      </c>
      <c r="K42" s="4" t="s">
        <v>206</v>
      </c>
      <c r="L42" s="4" t="s">
        <v>62</v>
      </c>
      <c r="M42" s="4" t="s">
        <v>207</v>
      </c>
    </row>
    <row r="43" ht="22.5" customHeight="1">
      <c r="A43" s="12" t="s">
        <v>525</v>
      </c>
      <c r="B43" s="12" t="s">
        <v>526</v>
      </c>
      <c r="C43" s="13" t="s">
        <v>109</v>
      </c>
      <c r="D43" s="15">
        <v>46367.0</v>
      </c>
      <c r="E43" s="15">
        <v>46372.0</v>
      </c>
      <c r="F43" s="13" t="s">
        <v>75</v>
      </c>
      <c r="G43" s="16"/>
      <c r="H43" s="28" t="s">
        <v>923</v>
      </c>
      <c r="I43" s="13" t="s">
        <v>81</v>
      </c>
      <c r="J43" s="27"/>
      <c r="K43" s="17"/>
      <c r="L43" s="17"/>
      <c r="M43" s="16" t="str">
        <f t="shared" ref="M43:M47" si="7">"A05 - Firewall"</f>
        <v>A05 - Firewall</v>
      </c>
    </row>
    <row r="44" ht="22.5" customHeight="1">
      <c r="A44" s="12" t="s">
        <v>527</v>
      </c>
      <c r="B44" s="12" t="s">
        <v>528</v>
      </c>
      <c r="C44" s="13" t="s">
        <v>109</v>
      </c>
      <c r="D44" s="15">
        <v>46405.0</v>
      </c>
      <c r="E44" s="15">
        <v>46405.0</v>
      </c>
      <c r="F44" s="13" t="s">
        <v>75</v>
      </c>
      <c r="G44" s="16"/>
      <c r="H44" s="28" t="s">
        <v>923</v>
      </c>
      <c r="I44" s="13" t="s">
        <v>76</v>
      </c>
      <c r="J44" s="27"/>
      <c r="K44" s="17"/>
      <c r="L44" s="17"/>
      <c r="M44" s="16" t="str">
        <f t="shared" si="7"/>
        <v>A05 - Firewall</v>
      </c>
    </row>
    <row r="45" ht="22.5" customHeight="1">
      <c r="A45" s="12"/>
      <c r="B45" s="12"/>
      <c r="C45" s="30" t="str">
        <f t="shared" ref="C45:C47" si="8">"Ergonomics"</f>
        <v>Ergonomics</v>
      </c>
      <c r="D45" s="14"/>
      <c r="E45" s="14"/>
      <c r="F45" s="30"/>
      <c r="G45" s="16"/>
      <c r="H45" s="17"/>
      <c r="I45" s="30"/>
      <c r="J45" s="27"/>
      <c r="K45" s="17"/>
      <c r="L45" s="17"/>
      <c r="M45" s="16" t="str">
        <f t="shared" si="7"/>
        <v>A05 - Firewall</v>
      </c>
    </row>
    <row r="46" ht="22.5" customHeight="1">
      <c r="A46" s="12"/>
      <c r="B46" s="12"/>
      <c r="C46" s="30" t="str">
        <f t="shared" si="8"/>
        <v>Ergonomics</v>
      </c>
      <c r="D46" s="14"/>
      <c r="E46" s="14"/>
      <c r="F46" s="30"/>
      <c r="G46" s="16"/>
      <c r="H46" s="17"/>
      <c r="I46" s="30"/>
      <c r="J46" s="27"/>
      <c r="K46" s="17"/>
      <c r="L46" s="17"/>
      <c r="M46" s="16" t="str">
        <f t="shared" si="7"/>
        <v>A05 - Firewall</v>
      </c>
    </row>
    <row r="47" ht="22.5" customHeight="1">
      <c r="A47" s="12"/>
      <c r="B47" s="12"/>
      <c r="C47" s="30" t="str">
        <f t="shared" si="8"/>
        <v>Ergonomics</v>
      </c>
      <c r="D47" s="14"/>
      <c r="E47" s="14"/>
      <c r="F47" s="30"/>
      <c r="G47" s="16"/>
      <c r="H47" s="17"/>
      <c r="I47" s="30"/>
      <c r="J47" s="27"/>
      <c r="K47" s="17"/>
      <c r="L47" s="17"/>
      <c r="M47" s="16" t="str">
        <f t="shared" si="7"/>
        <v>A05 - Firewall</v>
      </c>
    </row>
    <row r="48" ht="1.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</row>
    <row r="49">
      <c r="A49" s="26"/>
    </row>
    <row r="50">
      <c r="A50" s="26"/>
      <c r="B50" s="26"/>
    </row>
    <row r="51" ht="22.5" customHeight="1">
      <c r="A51" s="4" t="s">
        <v>58</v>
      </c>
      <c r="B51" s="4" t="s">
        <v>67</v>
      </c>
      <c r="C51" s="4" t="s">
        <v>0</v>
      </c>
      <c r="D51" s="4" t="s">
        <v>68</v>
      </c>
      <c r="E51" s="4" t="s">
        <v>69</v>
      </c>
      <c r="F51" s="4" t="s">
        <v>60</v>
      </c>
      <c r="G51" s="4" t="s">
        <v>7</v>
      </c>
      <c r="H51" s="4" t="s">
        <v>204</v>
      </c>
      <c r="I51" s="4" t="s">
        <v>72</v>
      </c>
      <c r="J51" s="4" t="s">
        <v>70</v>
      </c>
      <c r="K51" s="4" t="s">
        <v>206</v>
      </c>
      <c r="L51" s="4" t="s">
        <v>62</v>
      </c>
      <c r="M51" s="4" t="s">
        <v>207</v>
      </c>
    </row>
    <row r="52" ht="22.5" customHeight="1">
      <c r="A52" s="12" t="s">
        <v>529</v>
      </c>
      <c r="B52" s="12" t="s">
        <v>530</v>
      </c>
      <c r="C52" s="13" t="s">
        <v>109</v>
      </c>
      <c r="D52" s="15">
        <v>46404.0</v>
      </c>
      <c r="E52" s="15">
        <v>46405.0</v>
      </c>
      <c r="F52" s="13" t="s">
        <v>75</v>
      </c>
      <c r="G52" s="16"/>
      <c r="H52" s="28" t="s">
        <v>923</v>
      </c>
      <c r="I52" s="13" t="s">
        <v>76</v>
      </c>
      <c r="J52" s="27"/>
      <c r="K52" s="17"/>
      <c r="L52" s="17"/>
      <c r="M52" s="16" t="str">
        <f t="shared" ref="M52:M56" si="9">"A06 - Head Restraint"</f>
        <v>A06 - Head Restraint</v>
      </c>
    </row>
    <row r="53" ht="22.5" customHeight="1">
      <c r="A53" s="12" t="s">
        <v>531</v>
      </c>
      <c r="B53" s="12" t="s">
        <v>532</v>
      </c>
      <c r="C53" s="13" t="s">
        <v>109</v>
      </c>
      <c r="D53" s="15">
        <v>46272.0</v>
      </c>
      <c r="E53" s="15">
        <v>46295.0</v>
      </c>
      <c r="F53" s="13" t="s">
        <v>75</v>
      </c>
      <c r="G53" s="16"/>
      <c r="H53" s="28" t="s">
        <v>923</v>
      </c>
      <c r="I53" s="13" t="s">
        <v>81</v>
      </c>
      <c r="J53" s="27"/>
      <c r="K53" s="17"/>
      <c r="L53" s="17"/>
      <c r="M53" s="16" t="str">
        <f t="shared" si="9"/>
        <v>A06 - Head Restraint</v>
      </c>
    </row>
    <row r="54" ht="22.5" customHeight="1">
      <c r="A54" s="12"/>
      <c r="B54" s="12"/>
      <c r="C54" s="30"/>
      <c r="D54" s="15"/>
      <c r="E54" s="15"/>
      <c r="F54" s="30"/>
      <c r="G54" s="16"/>
      <c r="H54" s="12"/>
      <c r="I54" s="30"/>
      <c r="J54" s="27"/>
      <c r="K54" s="17"/>
      <c r="L54" s="17"/>
      <c r="M54" s="16" t="str">
        <f t="shared" si="9"/>
        <v>A06 - Head Restraint</v>
      </c>
    </row>
    <row r="55" ht="22.5" customHeight="1">
      <c r="A55" s="12"/>
      <c r="B55" s="12"/>
      <c r="C55" s="30" t="str">
        <f t="shared" ref="C55:C56" si="10">"Ergonomics"</f>
        <v>Ergonomics</v>
      </c>
      <c r="D55" s="14"/>
      <c r="E55" s="14"/>
      <c r="F55" s="30"/>
      <c r="G55" s="16"/>
      <c r="H55" s="17"/>
      <c r="I55" s="30"/>
      <c r="J55" s="27"/>
      <c r="K55" s="17"/>
      <c r="L55" s="17"/>
      <c r="M55" s="16" t="str">
        <f t="shared" si="9"/>
        <v>A06 - Head Restraint</v>
      </c>
    </row>
    <row r="56" ht="22.5" customHeight="1">
      <c r="A56" s="12"/>
      <c r="B56" s="12"/>
      <c r="C56" s="30" t="str">
        <f t="shared" si="10"/>
        <v>Ergonomics</v>
      </c>
      <c r="D56" s="14"/>
      <c r="E56" s="14"/>
      <c r="F56" s="30"/>
      <c r="G56" s="16"/>
      <c r="H56" s="17"/>
      <c r="I56" s="30"/>
      <c r="J56" s="27"/>
      <c r="K56" s="17"/>
      <c r="L56" s="17"/>
      <c r="M56" s="16" t="str">
        <f t="shared" si="9"/>
        <v>A06 - Head Restraint</v>
      </c>
    </row>
    <row r="57" ht="1.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</row>
    <row r="58">
      <c r="A58" s="26"/>
    </row>
    <row r="59">
      <c r="A59" s="26"/>
      <c r="B59" s="26"/>
    </row>
    <row r="60" ht="22.5" customHeight="1">
      <c r="A60" s="4" t="s">
        <v>58</v>
      </c>
      <c r="B60" s="4" t="s">
        <v>67</v>
      </c>
      <c r="C60" s="4" t="s">
        <v>0</v>
      </c>
      <c r="D60" s="4" t="s">
        <v>68</v>
      </c>
      <c r="E60" s="4" t="s">
        <v>69</v>
      </c>
      <c r="F60" s="4" t="s">
        <v>60</v>
      </c>
      <c r="G60" s="4" t="s">
        <v>7</v>
      </c>
      <c r="H60" s="4" t="s">
        <v>204</v>
      </c>
      <c r="I60" s="4" t="s">
        <v>72</v>
      </c>
      <c r="J60" s="4" t="s">
        <v>70</v>
      </c>
      <c r="K60" s="4" t="s">
        <v>206</v>
      </c>
      <c r="L60" s="4" t="s">
        <v>62</v>
      </c>
      <c r="M60" s="4" t="s">
        <v>207</v>
      </c>
    </row>
    <row r="61" ht="22.5" customHeight="1">
      <c r="A61" s="12"/>
      <c r="B61" s="12"/>
      <c r="C61" s="30" t="str">
        <f t="shared" ref="C61:C65" si="11">"Ergonomics"</f>
        <v>Ergonomics</v>
      </c>
      <c r="D61" s="14"/>
      <c r="E61" s="14"/>
      <c r="F61" s="30"/>
      <c r="G61" s="16"/>
      <c r="H61" s="17"/>
      <c r="I61" s="30"/>
      <c r="J61" s="27"/>
      <c r="K61" s="17"/>
      <c r="L61" s="17"/>
      <c r="M61" s="16" t="str">
        <f t="shared" ref="M61:M65" si="12">"A07 - Steering Wheel"</f>
        <v>A07 - Steering Wheel</v>
      </c>
    </row>
    <row r="62" ht="22.5" customHeight="1">
      <c r="A62" s="12"/>
      <c r="B62" s="12"/>
      <c r="C62" s="30" t="str">
        <f t="shared" si="11"/>
        <v>Ergonomics</v>
      </c>
      <c r="D62" s="14"/>
      <c r="E62" s="14"/>
      <c r="F62" s="30"/>
      <c r="G62" s="16"/>
      <c r="H62" s="17"/>
      <c r="I62" s="30"/>
      <c r="J62" s="27"/>
      <c r="K62" s="17"/>
      <c r="L62" s="17"/>
      <c r="M62" s="16" t="str">
        <f t="shared" si="12"/>
        <v>A07 - Steering Wheel</v>
      </c>
    </row>
    <row r="63" ht="22.5" customHeight="1">
      <c r="A63" s="12"/>
      <c r="B63" s="12"/>
      <c r="C63" s="30" t="str">
        <f t="shared" si="11"/>
        <v>Ergonomics</v>
      </c>
      <c r="D63" s="14"/>
      <c r="E63" s="14"/>
      <c r="F63" s="30"/>
      <c r="G63" s="16"/>
      <c r="H63" s="17"/>
      <c r="I63" s="30"/>
      <c r="J63" s="27"/>
      <c r="K63" s="17"/>
      <c r="L63" s="17"/>
      <c r="M63" s="16" t="str">
        <f t="shared" si="12"/>
        <v>A07 - Steering Wheel</v>
      </c>
    </row>
    <row r="64" ht="22.5" customHeight="1">
      <c r="A64" s="12"/>
      <c r="B64" s="12"/>
      <c r="C64" s="30" t="str">
        <f t="shared" si="11"/>
        <v>Ergonomics</v>
      </c>
      <c r="D64" s="14"/>
      <c r="E64" s="14"/>
      <c r="F64" s="30"/>
      <c r="G64" s="16"/>
      <c r="H64" s="17"/>
      <c r="I64" s="30"/>
      <c r="J64" s="27"/>
      <c r="K64" s="17"/>
      <c r="L64" s="17"/>
      <c r="M64" s="16" t="str">
        <f t="shared" si="12"/>
        <v>A07 - Steering Wheel</v>
      </c>
    </row>
    <row r="65" ht="22.5" customHeight="1">
      <c r="A65" s="12"/>
      <c r="B65" s="12"/>
      <c r="C65" s="30" t="str">
        <f t="shared" si="11"/>
        <v>Ergonomics</v>
      </c>
      <c r="D65" s="14"/>
      <c r="E65" s="14"/>
      <c r="F65" s="30"/>
      <c r="G65" s="16"/>
      <c r="H65" s="17"/>
      <c r="I65" s="30"/>
      <c r="J65" s="27"/>
      <c r="K65" s="17"/>
      <c r="L65" s="17"/>
      <c r="M65" s="16" t="str">
        <f t="shared" si="12"/>
        <v>A07 - Steering Wheel</v>
      </c>
    </row>
    <row r="66" ht="1.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</row>
    <row r="67">
      <c r="A67" s="26"/>
    </row>
    <row r="68">
      <c r="A68" s="26"/>
      <c r="B68" s="26"/>
    </row>
    <row r="69" ht="22.5" customHeight="1">
      <c r="A69" s="4" t="s">
        <v>58</v>
      </c>
      <c r="B69" s="4" t="s">
        <v>67</v>
      </c>
      <c r="C69" s="4" t="s">
        <v>0</v>
      </c>
      <c r="D69" s="4" t="s">
        <v>68</v>
      </c>
      <c r="E69" s="4" t="s">
        <v>69</v>
      </c>
      <c r="F69" s="4" t="s">
        <v>60</v>
      </c>
      <c r="G69" s="4" t="s">
        <v>7</v>
      </c>
      <c r="H69" s="4" t="s">
        <v>204</v>
      </c>
      <c r="I69" s="4" t="s">
        <v>72</v>
      </c>
      <c r="J69" s="4" t="s">
        <v>70</v>
      </c>
      <c r="K69" s="4" t="s">
        <v>206</v>
      </c>
      <c r="L69" s="4" t="s">
        <v>62</v>
      </c>
      <c r="M69" s="4" t="s">
        <v>207</v>
      </c>
    </row>
    <row r="70" ht="22.5" customHeight="1">
      <c r="A70" s="12"/>
      <c r="B70" s="12"/>
      <c r="C70" s="30" t="str">
        <f t="shared" ref="C70:C74" si="13">"Ergonomics"</f>
        <v>Ergonomics</v>
      </c>
      <c r="D70" s="14"/>
      <c r="E70" s="14"/>
      <c r="F70" s="30"/>
      <c r="G70" s="16"/>
      <c r="H70" s="17"/>
      <c r="I70" s="30"/>
      <c r="J70" s="27"/>
      <c r="K70" s="17"/>
      <c r="L70" s="17"/>
      <c r="M70" s="16" t="str">
        <f t="shared" ref="M70:M74" si="14">"A08 - Other Ergonomics"</f>
        <v>A08 - Other Ergonomics</v>
      </c>
    </row>
    <row r="71" ht="22.5" customHeight="1">
      <c r="A71" s="12"/>
      <c r="B71" s="12"/>
      <c r="C71" s="30" t="str">
        <f t="shared" si="13"/>
        <v>Ergonomics</v>
      </c>
      <c r="D71" s="14"/>
      <c r="E71" s="14"/>
      <c r="F71" s="30"/>
      <c r="G71" s="16"/>
      <c r="H71" s="17"/>
      <c r="I71" s="30"/>
      <c r="J71" s="27"/>
      <c r="K71" s="17"/>
      <c r="L71" s="17"/>
      <c r="M71" s="16" t="str">
        <f t="shared" si="14"/>
        <v>A08 - Other Ergonomics</v>
      </c>
    </row>
    <row r="72" ht="22.5" customHeight="1">
      <c r="A72" s="12"/>
      <c r="B72" s="12"/>
      <c r="C72" s="30" t="str">
        <f t="shared" si="13"/>
        <v>Ergonomics</v>
      </c>
      <c r="D72" s="14"/>
      <c r="E72" s="14"/>
      <c r="F72" s="30"/>
      <c r="G72" s="16"/>
      <c r="H72" s="17"/>
      <c r="I72" s="30"/>
      <c r="J72" s="27"/>
      <c r="K72" s="17"/>
      <c r="L72" s="17"/>
      <c r="M72" s="16" t="str">
        <f t="shared" si="14"/>
        <v>A08 - Other Ergonomics</v>
      </c>
    </row>
    <row r="73" ht="22.5" customHeight="1">
      <c r="A73" s="12"/>
      <c r="B73" s="12"/>
      <c r="C73" s="30" t="str">
        <f t="shared" si="13"/>
        <v>Ergonomics</v>
      </c>
      <c r="D73" s="14"/>
      <c r="E73" s="14"/>
      <c r="F73" s="30"/>
      <c r="G73" s="16"/>
      <c r="H73" s="17"/>
      <c r="I73" s="30"/>
      <c r="J73" s="27"/>
      <c r="K73" s="17"/>
      <c r="L73" s="17"/>
      <c r="M73" s="16" t="str">
        <f t="shared" si="14"/>
        <v>A08 - Other Ergonomics</v>
      </c>
    </row>
    <row r="74" ht="22.5" customHeight="1">
      <c r="A74" s="12"/>
      <c r="B74" s="12"/>
      <c r="C74" s="30" t="str">
        <f t="shared" si="13"/>
        <v>Ergonomics</v>
      </c>
      <c r="D74" s="14"/>
      <c r="E74" s="14"/>
      <c r="F74" s="30"/>
      <c r="G74" s="16"/>
      <c r="H74" s="17"/>
      <c r="I74" s="30"/>
      <c r="J74" s="27"/>
      <c r="K74" s="17"/>
      <c r="L74" s="17"/>
      <c r="M74" s="16" t="str">
        <f t="shared" si="14"/>
        <v>A08 - Other Ergonomics</v>
      </c>
    </row>
    <row r="75" ht="1.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</row>
    <row r="76">
      <c r="A76" s="26"/>
    </row>
  </sheetData>
  <mergeCells count="16">
    <mergeCell ref="B1:M1"/>
    <mergeCell ref="A10:M10"/>
    <mergeCell ref="B11:M11"/>
    <mergeCell ref="A19:M19"/>
    <mergeCell ref="B20:M20"/>
    <mergeCell ref="A29:M29"/>
    <mergeCell ref="B30:M30"/>
    <mergeCell ref="B68:M68"/>
    <mergeCell ref="A76:M76"/>
    <mergeCell ref="A40:M40"/>
    <mergeCell ref="B41:M41"/>
    <mergeCell ref="A49:M49"/>
    <mergeCell ref="B50:M50"/>
    <mergeCell ref="A58:M58"/>
    <mergeCell ref="B59:M59"/>
    <mergeCell ref="A67:M67"/>
  </mergeCells>
  <dataValidations>
    <dataValidation type="list" allowBlank="1" sqref="J3:J8 J13:J17 J22:J27 J32:J38 J43:J47 J52:J56 J61:J65 J70:J74">
      <formula1>#REF!</formula1>
    </dataValidation>
    <dataValidation type="list" allowBlank="1" sqref="F3:F8 F13:F17 F22:F27 F32:F38 F43:F47 F52:F56 F61:F65 F70:F74">
      <formula1>#REF!</formula1>
    </dataValidation>
    <dataValidation type="custom" allowBlank="1" showDropDown="1" sqref="D3:E8 D13:E17 D22:E27 D32:E38 D43:E47 D52:E56 D61:E65 D70:E74">
      <formula1>OR(NOT(ISERROR(DATEVALUE(D3))), AND(ISNUMBER(D3), LEFT(CELL("format", D3))="D"))</formula1>
    </dataValidation>
    <dataValidation type="list" allowBlank="1" sqref="I3:I8 I13:I17 I22:I27 I32:I38 I43:I47 I52:I56 I61:I65 I70:I74">
      <formula1>#REF!</formula1>
    </dataValidation>
    <dataValidation allowBlank="1" showDropDown="1" sqref="B3:B8 K3:L8 B13:B17 K13:L17 B22:B27 K22:L27 B32:B38 K32:L38 B43:B47 K43:L47 B52:B56 K52:L56 B61:B65 K61:L65 B70:B74 K70:L74"/>
    <dataValidation allowBlank="1" showDropDown="1" sqref="A3:A8 A13:A17 A22:A27 A32:A38 A43:A47 A52:A56 A61:A65 A70:A74"/>
    <dataValidation type="list" allowBlank="1" sqref="G3:G8 M3:M8 G13:G17 M13:M17 G22:G27 M22:M27 G32:G38 M32:M38 G43:G47 M43:M47 G52:G56 M52:M56 G61:G65 M61:M65 G70:G74 M70:M74">
      <formula1>#REF!</formula1>
    </dataValidation>
    <dataValidation type="list" allowBlank="1" sqref="C3:C8 C13:C17 C22:C27 C32:C38 C43:C47 C52:C56 C61:C65 C70:C74">
      <formula1>#REF!</formula1>
    </dataValidation>
  </dataValidations>
  <hyperlinks>
    <hyperlink r:id="rId1" ref="H3"/>
    <hyperlink r:id="rId2" ref="H4"/>
    <hyperlink r:id="rId3" ref="H5"/>
    <hyperlink r:id="rId4" ref="H6"/>
    <hyperlink r:id="rId5" ref="H13"/>
    <hyperlink r:id="rId6" ref="H14"/>
    <hyperlink r:id="rId7" ref="H22"/>
    <hyperlink r:id="rId8" ref="H23"/>
    <hyperlink r:id="rId9" ref="H24"/>
    <hyperlink r:id="rId10" ref="H25"/>
    <hyperlink r:id="rId11" ref="H32"/>
    <hyperlink r:id="rId12" ref="H33"/>
    <hyperlink r:id="rId13" ref="H34"/>
    <hyperlink r:id="rId14" ref="H35"/>
    <hyperlink r:id="rId15" ref="H36"/>
    <hyperlink r:id="rId16" ref="H43"/>
    <hyperlink r:id="rId17" ref="H44"/>
    <hyperlink r:id="rId18" ref="H52"/>
    <hyperlink r:id="rId19" ref="H53"/>
  </hyperlinks>
  <drawing r:id="rId20"/>
  <tableParts count="8"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5FC1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7.0"/>
    <col customWidth="1" hidden="1" min="3" max="3" width="16.38"/>
    <col customWidth="1" min="4" max="5" width="13.88"/>
    <col customWidth="1" min="6" max="6" width="14.38"/>
    <col customWidth="1" min="7" max="7" width="17.0"/>
    <col customWidth="1" min="8" max="8" width="17.63"/>
    <col customWidth="1" min="9" max="9" width="14.0"/>
    <col customWidth="1" min="10" max="10" width="19.5"/>
    <col customWidth="1" min="11" max="12" width="25.13"/>
    <col customWidth="1" hidden="1" min="13" max="13" width="25.13"/>
  </cols>
  <sheetData>
    <row r="1">
      <c r="A1" s="26"/>
      <c r="B1" s="26"/>
    </row>
    <row r="2" ht="22.5" customHeight="1">
      <c r="A2" s="4" t="s">
        <v>58</v>
      </c>
      <c r="B2" s="4" t="s">
        <v>67</v>
      </c>
      <c r="C2" s="4" t="s">
        <v>0</v>
      </c>
      <c r="D2" s="4" t="s">
        <v>68</v>
      </c>
      <c r="E2" s="4" t="s">
        <v>69</v>
      </c>
      <c r="F2" s="4" t="s">
        <v>60</v>
      </c>
      <c r="G2" s="4" t="s">
        <v>7</v>
      </c>
      <c r="H2" s="4" t="s">
        <v>204</v>
      </c>
      <c r="I2" s="4" t="s">
        <v>72</v>
      </c>
      <c r="J2" s="4" t="s">
        <v>70</v>
      </c>
      <c r="K2" s="4" t="s">
        <v>206</v>
      </c>
      <c r="L2" s="4" t="s">
        <v>62</v>
      </c>
      <c r="M2" s="4" t="s">
        <v>207</v>
      </c>
    </row>
    <row r="3" ht="22.5" customHeight="1">
      <c r="A3" s="12" t="s">
        <v>534</v>
      </c>
      <c r="B3" s="12" t="s">
        <v>535</v>
      </c>
      <c r="C3" s="13" t="s">
        <v>112</v>
      </c>
      <c r="D3" s="15">
        <v>46230.0</v>
      </c>
      <c r="E3" s="15">
        <v>46248.0</v>
      </c>
      <c r="F3" s="13" t="s">
        <v>80</v>
      </c>
      <c r="G3" s="16"/>
      <c r="H3" s="28" t="s">
        <v>937</v>
      </c>
      <c r="I3" s="13" t="s">
        <v>91</v>
      </c>
      <c r="J3" s="27"/>
      <c r="K3" s="17"/>
      <c r="L3" s="17"/>
      <c r="M3" s="16" t="str">
        <f t="shared" ref="M3:M35" si="1">"A01 - Monocoque"</f>
        <v>A01 - Monocoque</v>
      </c>
    </row>
    <row r="4" ht="22.5" customHeight="1">
      <c r="A4" s="12" t="s">
        <v>536</v>
      </c>
      <c r="B4" s="12"/>
      <c r="C4" s="13" t="s">
        <v>112</v>
      </c>
      <c r="D4" s="15"/>
      <c r="E4" s="15"/>
      <c r="F4" s="13" t="s">
        <v>75</v>
      </c>
      <c r="G4" s="16"/>
      <c r="H4" s="28" t="s">
        <v>937</v>
      </c>
      <c r="I4" s="13" t="s">
        <v>76</v>
      </c>
      <c r="J4" s="27"/>
      <c r="K4" s="17"/>
      <c r="L4" s="17"/>
      <c r="M4" s="16" t="str">
        <f t="shared" si="1"/>
        <v>A01 - Monocoque</v>
      </c>
    </row>
    <row r="5" ht="22.5" customHeight="1">
      <c r="A5" s="12" t="s">
        <v>537</v>
      </c>
      <c r="B5" s="12" t="s">
        <v>538</v>
      </c>
      <c r="C5" s="13" t="s">
        <v>112</v>
      </c>
      <c r="D5" s="15">
        <v>46264.0</v>
      </c>
      <c r="E5" s="15">
        <v>46265.0</v>
      </c>
      <c r="F5" s="13" t="s">
        <v>75</v>
      </c>
      <c r="G5" s="16"/>
      <c r="H5" s="28" t="s">
        <v>937</v>
      </c>
      <c r="I5" s="13" t="s">
        <v>76</v>
      </c>
      <c r="J5" s="27"/>
      <c r="K5" s="12" t="s">
        <v>940</v>
      </c>
      <c r="L5" s="12" t="s">
        <v>941</v>
      </c>
      <c r="M5" s="16" t="str">
        <f t="shared" si="1"/>
        <v>A01 - Monocoque</v>
      </c>
    </row>
    <row r="6" ht="22.5" customHeight="1">
      <c r="A6" s="12" t="s">
        <v>540</v>
      </c>
      <c r="B6" s="12" t="s">
        <v>541</v>
      </c>
      <c r="C6" s="13" t="s">
        <v>112</v>
      </c>
      <c r="D6" s="15">
        <v>46268.0</v>
      </c>
      <c r="E6" s="15">
        <v>46268.0</v>
      </c>
      <c r="F6" s="13" t="s">
        <v>75</v>
      </c>
      <c r="G6" s="16"/>
      <c r="H6" s="28" t="s">
        <v>937</v>
      </c>
      <c r="I6" s="13" t="s">
        <v>86</v>
      </c>
      <c r="J6" s="27"/>
      <c r="K6" s="12" t="s">
        <v>942</v>
      </c>
      <c r="L6" s="17"/>
      <c r="M6" s="16" t="str">
        <f t="shared" si="1"/>
        <v>A01 - Monocoque</v>
      </c>
    </row>
    <row r="7" ht="22.5" customHeight="1">
      <c r="A7" s="12" t="s">
        <v>542</v>
      </c>
      <c r="B7" s="12" t="s">
        <v>543</v>
      </c>
      <c r="C7" s="13" t="s">
        <v>112</v>
      </c>
      <c r="D7" s="15">
        <v>46272.0</v>
      </c>
      <c r="E7" s="15">
        <v>46279.0</v>
      </c>
      <c r="F7" s="13" t="s">
        <v>75</v>
      </c>
      <c r="G7" s="16"/>
      <c r="H7" s="28" t="s">
        <v>937</v>
      </c>
      <c r="I7" s="13" t="s">
        <v>81</v>
      </c>
      <c r="J7" s="27"/>
      <c r="K7" s="12" t="s">
        <v>943</v>
      </c>
      <c r="L7" s="17"/>
      <c r="M7" s="16" t="str">
        <f t="shared" si="1"/>
        <v>A01 - Monocoque</v>
      </c>
    </row>
    <row r="8" ht="22.5" customHeight="1">
      <c r="A8" s="12" t="s">
        <v>544</v>
      </c>
      <c r="B8" s="12" t="s">
        <v>545</v>
      </c>
      <c r="C8" s="13" t="s">
        <v>112</v>
      </c>
      <c r="D8" s="15">
        <v>46272.0</v>
      </c>
      <c r="E8" s="15">
        <v>46272.0</v>
      </c>
      <c r="F8" s="13" t="s">
        <v>75</v>
      </c>
      <c r="G8" s="16"/>
      <c r="H8" s="28" t="s">
        <v>937</v>
      </c>
      <c r="I8" s="13" t="s">
        <v>76</v>
      </c>
      <c r="J8" s="27"/>
      <c r="K8" s="12" t="s">
        <v>945</v>
      </c>
      <c r="L8" s="17"/>
      <c r="M8" s="16" t="str">
        <f t="shared" si="1"/>
        <v>A01 - Monocoque</v>
      </c>
    </row>
    <row r="9" ht="22.5" customHeight="1">
      <c r="A9" s="12" t="s">
        <v>547</v>
      </c>
      <c r="B9" s="12" t="s">
        <v>548</v>
      </c>
      <c r="C9" s="13" t="s">
        <v>112</v>
      </c>
      <c r="D9" s="15">
        <v>46317.0</v>
      </c>
      <c r="E9" s="15">
        <v>46327.0</v>
      </c>
      <c r="F9" s="13" t="s">
        <v>75</v>
      </c>
      <c r="G9" s="16"/>
      <c r="H9" s="28" t="s">
        <v>937</v>
      </c>
      <c r="I9" s="13" t="s">
        <v>81</v>
      </c>
      <c r="J9" s="27"/>
      <c r="K9" s="12" t="s">
        <v>946</v>
      </c>
      <c r="L9" s="17"/>
      <c r="M9" s="16" t="str">
        <f t="shared" si="1"/>
        <v>A01 - Monocoque</v>
      </c>
    </row>
    <row r="10" ht="22.5" customHeight="1">
      <c r="A10" s="12" t="s">
        <v>549</v>
      </c>
      <c r="B10" s="12" t="s">
        <v>550</v>
      </c>
      <c r="C10" s="13" t="s">
        <v>112</v>
      </c>
      <c r="D10" s="15">
        <v>46318.0</v>
      </c>
      <c r="E10" s="15">
        <v>46327.0</v>
      </c>
      <c r="F10" s="13" t="s">
        <v>75</v>
      </c>
      <c r="G10" s="16"/>
      <c r="H10" s="28" t="s">
        <v>937</v>
      </c>
      <c r="I10" s="13" t="s">
        <v>81</v>
      </c>
      <c r="J10" s="27"/>
      <c r="K10" s="12" t="s">
        <v>947</v>
      </c>
      <c r="L10" s="17"/>
      <c r="M10" s="16" t="str">
        <f t="shared" si="1"/>
        <v>A01 - Monocoque</v>
      </c>
    </row>
    <row r="11" ht="22.5" customHeight="1">
      <c r="A11" s="12" t="s">
        <v>551</v>
      </c>
      <c r="B11" s="12" t="s">
        <v>552</v>
      </c>
      <c r="C11" s="13" t="s">
        <v>112</v>
      </c>
      <c r="D11" s="15">
        <v>46311.0</v>
      </c>
      <c r="E11" s="15">
        <v>46319.0</v>
      </c>
      <c r="F11" s="13" t="s">
        <v>75</v>
      </c>
      <c r="G11" s="16"/>
      <c r="H11" s="28" t="s">
        <v>937</v>
      </c>
      <c r="I11" s="13" t="s">
        <v>76</v>
      </c>
      <c r="J11" s="27"/>
      <c r="K11" s="12" t="s">
        <v>948</v>
      </c>
      <c r="L11" s="17"/>
      <c r="M11" s="16" t="str">
        <f t="shared" si="1"/>
        <v>A01 - Monocoque</v>
      </c>
    </row>
    <row r="12" ht="22.5" customHeight="1">
      <c r="A12" s="12" t="s">
        <v>553</v>
      </c>
      <c r="B12" s="12" t="s">
        <v>554</v>
      </c>
      <c r="C12" s="13" t="s">
        <v>112</v>
      </c>
      <c r="D12" s="15">
        <v>46320.0</v>
      </c>
      <c r="E12" s="15">
        <v>46320.0</v>
      </c>
      <c r="F12" s="13" t="s">
        <v>75</v>
      </c>
      <c r="G12" s="16"/>
      <c r="H12" s="28" t="s">
        <v>937</v>
      </c>
      <c r="I12" s="13" t="s">
        <v>81</v>
      </c>
      <c r="J12" s="27"/>
      <c r="K12" s="12" t="s">
        <v>949</v>
      </c>
      <c r="L12" s="17"/>
      <c r="M12" s="16" t="str">
        <f t="shared" si="1"/>
        <v>A01 - Monocoque</v>
      </c>
    </row>
    <row r="13" ht="22.5" customHeight="1">
      <c r="A13" s="12" t="s">
        <v>555</v>
      </c>
      <c r="B13" s="12" t="s">
        <v>556</v>
      </c>
      <c r="C13" s="13" t="s">
        <v>112</v>
      </c>
      <c r="D13" s="15">
        <v>46327.0</v>
      </c>
      <c r="E13" s="15">
        <v>46329.0</v>
      </c>
      <c r="F13" s="13" t="s">
        <v>75</v>
      </c>
      <c r="G13" s="16"/>
      <c r="H13" s="28" t="s">
        <v>937</v>
      </c>
      <c r="I13" s="13" t="s">
        <v>76</v>
      </c>
      <c r="J13" s="27"/>
      <c r="K13" s="12" t="s">
        <v>950</v>
      </c>
      <c r="L13" s="12" t="s">
        <v>951</v>
      </c>
      <c r="M13" s="16" t="str">
        <f t="shared" si="1"/>
        <v>A01 - Monocoque</v>
      </c>
    </row>
    <row r="14" ht="22.5" customHeight="1">
      <c r="A14" s="12" t="s">
        <v>557</v>
      </c>
      <c r="B14" s="12" t="s">
        <v>558</v>
      </c>
      <c r="C14" s="13" t="s">
        <v>112</v>
      </c>
      <c r="D14" s="15">
        <v>46314.0</v>
      </c>
      <c r="E14" s="15">
        <v>46330.0</v>
      </c>
      <c r="F14" s="13" t="s">
        <v>75</v>
      </c>
      <c r="G14" s="16"/>
      <c r="H14" s="28" t="s">
        <v>937</v>
      </c>
      <c r="I14" s="13" t="s">
        <v>76</v>
      </c>
      <c r="J14" s="27"/>
      <c r="K14" s="12" t="s">
        <v>952</v>
      </c>
      <c r="L14" s="12" t="s">
        <v>953</v>
      </c>
      <c r="M14" s="16" t="str">
        <f t="shared" si="1"/>
        <v>A01 - Monocoque</v>
      </c>
    </row>
    <row r="15" ht="22.5" customHeight="1">
      <c r="A15" s="12" t="s">
        <v>559</v>
      </c>
      <c r="B15" s="12" t="s">
        <v>560</v>
      </c>
      <c r="C15" s="13" t="s">
        <v>112</v>
      </c>
      <c r="D15" s="15">
        <v>46332.0</v>
      </c>
      <c r="E15" s="15">
        <v>46332.0</v>
      </c>
      <c r="F15" s="13" t="s">
        <v>75</v>
      </c>
      <c r="G15" s="16"/>
      <c r="H15" s="28" t="s">
        <v>937</v>
      </c>
      <c r="I15" s="13" t="s">
        <v>76</v>
      </c>
      <c r="J15" s="27"/>
      <c r="K15" s="12" t="s">
        <v>955</v>
      </c>
      <c r="L15" s="17"/>
      <c r="M15" s="16" t="str">
        <f t="shared" si="1"/>
        <v>A01 - Monocoque</v>
      </c>
    </row>
    <row r="16" ht="22.5" customHeight="1">
      <c r="A16" s="12" t="s">
        <v>561</v>
      </c>
      <c r="B16" s="12" t="s">
        <v>562</v>
      </c>
      <c r="C16" s="13" t="s">
        <v>112</v>
      </c>
      <c r="D16" s="15">
        <v>46333.0</v>
      </c>
      <c r="E16" s="15">
        <v>46333.0</v>
      </c>
      <c r="F16" s="13" t="s">
        <v>75</v>
      </c>
      <c r="G16" s="16"/>
      <c r="H16" s="28" t="s">
        <v>937</v>
      </c>
      <c r="I16" s="13" t="s">
        <v>76</v>
      </c>
      <c r="J16" s="27"/>
      <c r="K16" s="12" t="s">
        <v>956</v>
      </c>
      <c r="L16" s="17"/>
      <c r="M16" s="16" t="str">
        <f t="shared" si="1"/>
        <v>A01 - Monocoque</v>
      </c>
    </row>
    <row r="17" ht="22.5" customHeight="1">
      <c r="A17" s="12" t="s">
        <v>563</v>
      </c>
      <c r="B17" s="12" t="s">
        <v>564</v>
      </c>
      <c r="C17" s="13" t="s">
        <v>112</v>
      </c>
      <c r="D17" s="15">
        <v>46334.0</v>
      </c>
      <c r="E17" s="15">
        <v>46334.0</v>
      </c>
      <c r="F17" s="13" t="s">
        <v>75</v>
      </c>
      <c r="G17" s="16"/>
      <c r="H17" s="28" t="s">
        <v>937</v>
      </c>
      <c r="I17" s="13" t="s">
        <v>81</v>
      </c>
      <c r="J17" s="27"/>
      <c r="K17" s="12" t="s">
        <v>957</v>
      </c>
      <c r="L17" s="12" t="s">
        <v>958</v>
      </c>
      <c r="M17" s="16" t="str">
        <f t="shared" si="1"/>
        <v>A01 - Monocoque</v>
      </c>
    </row>
    <row r="18" ht="22.5" customHeight="1">
      <c r="A18" s="12" t="s">
        <v>566</v>
      </c>
      <c r="B18" s="12" t="s">
        <v>567</v>
      </c>
      <c r="C18" s="13" t="s">
        <v>112</v>
      </c>
      <c r="D18" s="15">
        <v>46337.0</v>
      </c>
      <c r="E18" s="15">
        <v>46337.0</v>
      </c>
      <c r="F18" s="13" t="s">
        <v>75</v>
      </c>
      <c r="G18" s="16"/>
      <c r="H18" s="28" t="s">
        <v>937</v>
      </c>
      <c r="I18" s="13" t="s">
        <v>76</v>
      </c>
      <c r="J18" s="27"/>
      <c r="K18" s="12" t="s">
        <v>959</v>
      </c>
      <c r="L18" s="17"/>
      <c r="M18" s="16" t="str">
        <f t="shared" si="1"/>
        <v>A01 - Monocoque</v>
      </c>
    </row>
    <row r="19" ht="22.5" customHeight="1">
      <c r="A19" s="12" t="s">
        <v>568</v>
      </c>
      <c r="B19" s="12" t="s">
        <v>569</v>
      </c>
      <c r="C19" s="13" t="s">
        <v>112</v>
      </c>
      <c r="D19" s="15">
        <v>46340.0</v>
      </c>
      <c r="E19" s="15">
        <v>46341.0</v>
      </c>
      <c r="F19" s="13" t="s">
        <v>75</v>
      </c>
      <c r="G19" s="16"/>
      <c r="H19" s="28" t="s">
        <v>937</v>
      </c>
      <c r="I19" s="13" t="s">
        <v>91</v>
      </c>
      <c r="J19" s="27"/>
      <c r="K19" s="12" t="s">
        <v>960</v>
      </c>
      <c r="L19" s="12" t="s">
        <v>961</v>
      </c>
      <c r="M19" s="16" t="str">
        <f t="shared" si="1"/>
        <v>A01 - Monocoque</v>
      </c>
    </row>
    <row r="20" ht="22.5" customHeight="1">
      <c r="A20" s="12" t="s">
        <v>570</v>
      </c>
      <c r="B20" s="12" t="s">
        <v>571</v>
      </c>
      <c r="C20" s="13" t="s">
        <v>112</v>
      </c>
      <c r="D20" s="15">
        <v>46345.0</v>
      </c>
      <c r="E20" s="15">
        <v>46345.0</v>
      </c>
      <c r="F20" s="13" t="s">
        <v>75</v>
      </c>
      <c r="G20" s="16"/>
      <c r="H20" s="28" t="s">
        <v>937</v>
      </c>
      <c r="I20" s="13" t="s">
        <v>81</v>
      </c>
      <c r="J20" s="27"/>
      <c r="K20" s="12" t="s">
        <v>962</v>
      </c>
      <c r="L20" s="17"/>
      <c r="M20" s="16" t="str">
        <f t="shared" si="1"/>
        <v>A01 - Monocoque</v>
      </c>
    </row>
    <row r="21" ht="22.5" customHeight="1">
      <c r="A21" s="12" t="s">
        <v>572</v>
      </c>
      <c r="B21" s="12" t="s">
        <v>573</v>
      </c>
      <c r="C21" s="13" t="s">
        <v>112</v>
      </c>
      <c r="D21" s="15">
        <v>46356.0</v>
      </c>
      <c r="E21" s="15">
        <v>46356.0</v>
      </c>
      <c r="F21" s="13" t="s">
        <v>75</v>
      </c>
      <c r="G21" s="16"/>
      <c r="H21" s="28" t="s">
        <v>937</v>
      </c>
      <c r="I21" s="13" t="s">
        <v>76</v>
      </c>
      <c r="J21" s="27"/>
      <c r="K21" s="12" t="s">
        <v>963</v>
      </c>
      <c r="L21" s="17"/>
      <c r="M21" s="16" t="str">
        <f t="shared" si="1"/>
        <v>A01 - Monocoque</v>
      </c>
    </row>
    <row r="22" ht="22.5" customHeight="1">
      <c r="A22" s="12" t="s">
        <v>574</v>
      </c>
      <c r="B22" s="12" t="s">
        <v>575</v>
      </c>
      <c r="C22" s="13" t="s">
        <v>112</v>
      </c>
      <c r="D22" s="15">
        <v>46358.0</v>
      </c>
      <c r="E22" s="15">
        <v>46358.0</v>
      </c>
      <c r="F22" s="13" t="s">
        <v>75</v>
      </c>
      <c r="G22" s="16"/>
      <c r="H22" s="28" t="s">
        <v>937</v>
      </c>
      <c r="I22" s="13" t="s">
        <v>81</v>
      </c>
      <c r="J22" s="27"/>
      <c r="K22" s="12" t="s">
        <v>964</v>
      </c>
      <c r="L22" s="17"/>
      <c r="M22" s="16" t="str">
        <f t="shared" si="1"/>
        <v>A01 - Monocoque</v>
      </c>
    </row>
    <row r="23" ht="22.5" customHeight="1">
      <c r="A23" s="12" t="s">
        <v>576</v>
      </c>
      <c r="B23" s="12" t="s">
        <v>577</v>
      </c>
      <c r="C23" s="13" t="s">
        <v>112</v>
      </c>
      <c r="D23" s="15">
        <v>46391.0</v>
      </c>
      <c r="E23" s="15">
        <v>46393.0</v>
      </c>
      <c r="F23" s="13" t="s">
        <v>75</v>
      </c>
      <c r="G23" s="16"/>
      <c r="H23" s="28" t="s">
        <v>937</v>
      </c>
      <c r="I23" s="13" t="s">
        <v>76</v>
      </c>
      <c r="J23" s="27"/>
      <c r="K23" s="12" t="s">
        <v>965</v>
      </c>
      <c r="L23" s="17"/>
      <c r="M23" s="16" t="str">
        <f t="shared" si="1"/>
        <v>A01 - Monocoque</v>
      </c>
    </row>
    <row r="24" ht="22.5" customHeight="1">
      <c r="A24" s="12" t="s">
        <v>579</v>
      </c>
      <c r="B24" s="12" t="s">
        <v>580</v>
      </c>
      <c r="C24" s="13" t="s">
        <v>112</v>
      </c>
      <c r="D24" s="15">
        <v>46394.0</v>
      </c>
      <c r="E24" s="15">
        <v>46396.0</v>
      </c>
      <c r="F24" s="13" t="s">
        <v>75</v>
      </c>
      <c r="G24" s="16"/>
      <c r="H24" s="28" t="s">
        <v>937</v>
      </c>
      <c r="I24" s="13" t="s">
        <v>76</v>
      </c>
      <c r="J24" s="27"/>
      <c r="K24" s="12" t="s">
        <v>966</v>
      </c>
      <c r="L24" s="17"/>
      <c r="M24" s="16" t="str">
        <f t="shared" si="1"/>
        <v>A01 - Monocoque</v>
      </c>
    </row>
    <row r="25" ht="22.5" customHeight="1">
      <c r="A25" s="12" t="s">
        <v>581</v>
      </c>
      <c r="B25" s="12" t="s">
        <v>582</v>
      </c>
      <c r="C25" s="13" t="s">
        <v>112</v>
      </c>
      <c r="D25" s="15">
        <v>46397.0</v>
      </c>
      <c r="E25" s="15">
        <v>46397.0</v>
      </c>
      <c r="F25" s="13" t="s">
        <v>75</v>
      </c>
      <c r="G25" s="16"/>
      <c r="H25" s="28" t="s">
        <v>937</v>
      </c>
      <c r="I25" s="13" t="s">
        <v>76</v>
      </c>
      <c r="J25" s="27"/>
      <c r="K25" s="12" t="s">
        <v>967</v>
      </c>
      <c r="L25" s="17"/>
      <c r="M25" s="16" t="str">
        <f t="shared" si="1"/>
        <v>A01 - Monocoque</v>
      </c>
    </row>
    <row r="26" ht="22.5" customHeight="1">
      <c r="A26" s="12" t="s">
        <v>583</v>
      </c>
      <c r="B26" s="12" t="s">
        <v>584</v>
      </c>
      <c r="C26" s="13" t="s">
        <v>112</v>
      </c>
      <c r="D26" s="15">
        <v>46398.0</v>
      </c>
      <c r="E26" s="15">
        <v>46400.0</v>
      </c>
      <c r="F26" s="13" t="s">
        <v>75</v>
      </c>
      <c r="G26" s="16"/>
      <c r="H26" s="28" t="s">
        <v>937</v>
      </c>
      <c r="I26" s="13" t="s">
        <v>76</v>
      </c>
      <c r="J26" s="27"/>
      <c r="K26" s="12" t="s">
        <v>968</v>
      </c>
      <c r="L26" s="12" t="s">
        <v>969</v>
      </c>
      <c r="M26" s="16" t="str">
        <f t="shared" si="1"/>
        <v>A01 - Monocoque</v>
      </c>
    </row>
    <row r="27" ht="22.5" customHeight="1">
      <c r="A27" s="12" t="s">
        <v>585</v>
      </c>
      <c r="B27" s="12" t="s">
        <v>586</v>
      </c>
      <c r="C27" s="13" t="s">
        <v>112</v>
      </c>
      <c r="D27" s="15">
        <v>46401.0</v>
      </c>
      <c r="E27" s="15">
        <v>46403.0</v>
      </c>
      <c r="F27" s="13" t="s">
        <v>75</v>
      </c>
      <c r="G27" s="16"/>
      <c r="H27" s="28" t="s">
        <v>937</v>
      </c>
      <c r="I27" s="13" t="s">
        <v>76</v>
      </c>
      <c r="J27" s="27"/>
      <c r="K27" s="12" t="s">
        <v>970</v>
      </c>
      <c r="L27" s="17"/>
      <c r="M27" s="16" t="str">
        <f t="shared" si="1"/>
        <v>A01 - Monocoque</v>
      </c>
    </row>
    <row r="28" ht="22.5" customHeight="1">
      <c r="A28" s="12" t="s">
        <v>587</v>
      </c>
      <c r="B28" s="12" t="s">
        <v>588</v>
      </c>
      <c r="C28" s="13" t="s">
        <v>112</v>
      </c>
      <c r="D28" s="15">
        <v>46404.0</v>
      </c>
      <c r="E28" s="15">
        <v>46404.0</v>
      </c>
      <c r="F28" s="13" t="s">
        <v>75</v>
      </c>
      <c r="G28" s="16"/>
      <c r="H28" s="28" t="s">
        <v>937</v>
      </c>
      <c r="I28" s="13" t="s">
        <v>76</v>
      </c>
      <c r="J28" s="27"/>
      <c r="K28" s="12" t="s">
        <v>971</v>
      </c>
      <c r="L28" s="17"/>
      <c r="M28" s="16" t="str">
        <f t="shared" si="1"/>
        <v>A01 - Monocoque</v>
      </c>
    </row>
    <row r="29" ht="22.5" customHeight="1">
      <c r="A29" s="12" t="s">
        <v>589</v>
      </c>
      <c r="B29" s="12" t="s">
        <v>590</v>
      </c>
      <c r="C29" s="13" t="s">
        <v>112</v>
      </c>
      <c r="D29" s="15">
        <v>46425.0</v>
      </c>
      <c r="E29" s="15">
        <v>46425.0</v>
      </c>
      <c r="F29" s="13" t="s">
        <v>75</v>
      </c>
      <c r="G29" s="16"/>
      <c r="H29" s="28" t="s">
        <v>937</v>
      </c>
      <c r="I29" s="13" t="s">
        <v>81</v>
      </c>
      <c r="J29" s="27"/>
      <c r="K29" s="12" t="s">
        <v>972</v>
      </c>
      <c r="L29" s="17"/>
      <c r="M29" s="16" t="str">
        <f t="shared" si="1"/>
        <v>A01 - Monocoque</v>
      </c>
    </row>
    <row r="30" ht="22.5" customHeight="1">
      <c r="A30" s="12" t="s">
        <v>592</v>
      </c>
      <c r="B30" s="53" t="s">
        <v>593</v>
      </c>
      <c r="C30" s="54" t="s">
        <v>112</v>
      </c>
      <c r="D30" s="55">
        <v>46230.0</v>
      </c>
      <c r="E30" s="55">
        <v>46241.0</v>
      </c>
      <c r="F30" s="54" t="s">
        <v>75</v>
      </c>
      <c r="G30" s="54"/>
      <c r="H30" s="56" t="s">
        <v>937</v>
      </c>
      <c r="I30" s="54" t="s">
        <v>86</v>
      </c>
      <c r="J30" s="57"/>
      <c r="K30" s="53" t="s">
        <v>973</v>
      </c>
      <c r="L30" s="53"/>
      <c r="M30" s="16" t="str">
        <f t="shared" si="1"/>
        <v>A01 - Monocoque</v>
      </c>
    </row>
    <row r="31" ht="22.5" customHeight="1">
      <c r="A31" s="12" t="s">
        <v>594</v>
      </c>
      <c r="B31" s="53" t="s">
        <v>595</v>
      </c>
      <c r="C31" s="54" t="s">
        <v>112</v>
      </c>
      <c r="D31" s="55">
        <v>46230.0</v>
      </c>
      <c r="E31" s="55">
        <v>46258.0</v>
      </c>
      <c r="F31" s="54" t="s">
        <v>75</v>
      </c>
      <c r="G31" s="54"/>
      <c r="H31" s="56" t="s">
        <v>937</v>
      </c>
      <c r="I31" s="54" t="s">
        <v>86</v>
      </c>
      <c r="J31" s="57"/>
      <c r="K31" s="53"/>
      <c r="L31" s="53"/>
      <c r="M31" s="16" t="str">
        <f t="shared" si="1"/>
        <v>A01 - Monocoque</v>
      </c>
    </row>
    <row r="32" ht="22.5" customHeight="1">
      <c r="A32" s="12" t="s">
        <v>596</v>
      </c>
      <c r="B32" s="53"/>
      <c r="C32" s="54" t="s">
        <v>112</v>
      </c>
      <c r="D32" s="55"/>
      <c r="E32" s="55"/>
      <c r="F32" s="54" t="s">
        <v>75</v>
      </c>
      <c r="G32" s="54"/>
      <c r="H32" s="56" t="s">
        <v>937</v>
      </c>
      <c r="I32" s="54" t="s">
        <v>76</v>
      </c>
      <c r="J32" s="57"/>
      <c r="K32" s="53" t="s">
        <v>974</v>
      </c>
      <c r="L32" s="53" t="s">
        <v>975</v>
      </c>
      <c r="M32" s="16" t="str">
        <f t="shared" si="1"/>
        <v>A01 - Monocoque</v>
      </c>
    </row>
    <row r="33" ht="22.5" customHeight="1">
      <c r="A33" s="12" t="s">
        <v>598</v>
      </c>
      <c r="B33" s="53"/>
      <c r="C33" s="54" t="s">
        <v>112</v>
      </c>
      <c r="D33" s="55"/>
      <c r="E33" s="55"/>
      <c r="F33" s="54" t="s">
        <v>75</v>
      </c>
      <c r="G33" s="54"/>
      <c r="H33" s="56" t="s">
        <v>937</v>
      </c>
      <c r="I33" s="54" t="s">
        <v>76</v>
      </c>
      <c r="J33" s="57"/>
      <c r="K33" s="53" t="s">
        <v>976</v>
      </c>
      <c r="L33" s="53"/>
      <c r="M33" s="16" t="str">
        <f t="shared" si="1"/>
        <v>A01 - Monocoque</v>
      </c>
    </row>
    <row r="34" ht="22.5" customHeight="1">
      <c r="A34" s="12"/>
      <c r="B34" s="12"/>
      <c r="C34" s="30" t="str">
        <f t="shared" ref="C34:C35" si="2">"Monocoque"</f>
        <v>Monocoque</v>
      </c>
      <c r="D34" s="14"/>
      <c r="E34" s="14"/>
      <c r="F34" s="30"/>
      <c r="G34" s="16"/>
      <c r="H34" s="17"/>
      <c r="I34" s="30"/>
      <c r="J34" s="27"/>
      <c r="K34" s="17"/>
      <c r="L34" s="17"/>
      <c r="M34" s="16" t="str">
        <f t="shared" si="1"/>
        <v>A01 - Monocoque</v>
      </c>
    </row>
    <row r="35" ht="22.5" customHeight="1">
      <c r="A35" s="12"/>
      <c r="B35" s="12"/>
      <c r="C35" s="30" t="str">
        <f t="shared" si="2"/>
        <v>Monocoque</v>
      </c>
      <c r="D35" s="14"/>
      <c r="E35" s="14"/>
      <c r="F35" s="30"/>
      <c r="G35" s="16"/>
      <c r="H35" s="17"/>
      <c r="I35" s="30"/>
      <c r="J35" s="27"/>
      <c r="K35" s="17"/>
      <c r="L35" s="17"/>
      <c r="M35" s="16" t="str">
        <f t="shared" si="1"/>
        <v>A01 - Monocoque</v>
      </c>
    </row>
    <row r="36" ht="1.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</row>
    <row r="37">
      <c r="A37" s="26"/>
    </row>
    <row r="38">
      <c r="A38" s="26"/>
      <c r="B38" s="26"/>
    </row>
    <row r="39" ht="22.5" customHeight="1">
      <c r="A39" s="4" t="s">
        <v>58</v>
      </c>
      <c r="B39" s="4" t="s">
        <v>67</v>
      </c>
      <c r="C39" s="4" t="s">
        <v>0</v>
      </c>
      <c r="D39" s="4" t="s">
        <v>68</v>
      </c>
      <c r="E39" s="4" t="s">
        <v>69</v>
      </c>
      <c r="F39" s="4" t="s">
        <v>60</v>
      </c>
      <c r="G39" s="4" t="s">
        <v>7</v>
      </c>
      <c r="H39" s="4" t="s">
        <v>204</v>
      </c>
      <c r="I39" s="4" t="s">
        <v>72</v>
      </c>
      <c r="J39" s="4" t="s">
        <v>70</v>
      </c>
      <c r="K39" s="4" t="s">
        <v>206</v>
      </c>
      <c r="L39" s="4" t="s">
        <v>62</v>
      </c>
      <c r="M39" s="4" t="s">
        <v>207</v>
      </c>
    </row>
    <row r="40" ht="22.5" customHeight="1">
      <c r="A40" s="12" t="s">
        <v>599</v>
      </c>
      <c r="B40" s="12" t="s">
        <v>600</v>
      </c>
      <c r="C40" s="13" t="s">
        <v>112</v>
      </c>
      <c r="D40" s="15">
        <v>46266.0</v>
      </c>
      <c r="E40" s="15">
        <v>46314.0</v>
      </c>
      <c r="F40" s="13" t="s">
        <v>75</v>
      </c>
      <c r="G40" s="16"/>
      <c r="H40" s="28" t="s">
        <v>937</v>
      </c>
      <c r="I40" s="13" t="s">
        <v>86</v>
      </c>
      <c r="J40" s="27"/>
      <c r="K40" s="12" t="s">
        <v>978</v>
      </c>
      <c r="L40" s="17"/>
      <c r="M40" s="16" t="str">
        <f t="shared" ref="M40:M44" si="3">"A02 - MO Geometry"</f>
        <v>A02 - MO Geometry</v>
      </c>
    </row>
    <row r="41" ht="22.5" customHeight="1">
      <c r="A41" s="12" t="s">
        <v>601</v>
      </c>
      <c r="B41" s="12" t="s">
        <v>602</v>
      </c>
      <c r="C41" s="13" t="s">
        <v>112</v>
      </c>
      <c r="D41" s="15">
        <v>46258.0</v>
      </c>
      <c r="E41" s="15">
        <v>46295.0</v>
      </c>
      <c r="F41" s="13" t="s">
        <v>80</v>
      </c>
      <c r="G41" s="16"/>
      <c r="H41" s="28" t="s">
        <v>937</v>
      </c>
      <c r="I41" s="13" t="s">
        <v>86</v>
      </c>
      <c r="J41" s="27"/>
      <c r="K41" s="12" t="s">
        <v>979</v>
      </c>
      <c r="L41" s="12" t="s">
        <v>980</v>
      </c>
      <c r="M41" s="16" t="str">
        <f t="shared" si="3"/>
        <v>A02 - MO Geometry</v>
      </c>
    </row>
    <row r="42" ht="22.5" customHeight="1">
      <c r="A42" s="12" t="s">
        <v>603</v>
      </c>
      <c r="B42" s="12" t="s">
        <v>604</v>
      </c>
      <c r="C42" s="13" t="s">
        <v>112</v>
      </c>
      <c r="D42" s="15">
        <v>46314.0</v>
      </c>
      <c r="E42" s="15">
        <v>46314.0</v>
      </c>
      <c r="F42" s="13" t="s">
        <v>75</v>
      </c>
      <c r="G42" s="16"/>
      <c r="H42" s="28" t="s">
        <v>937</v>
      </c>
      <c r="I42" s="13" t="s">
        <v>76</v>
      </c>
      <c r="J42" s="27"/>
      <c r="K42" s="12" t="s">
        <v>981</v>
      </c>
      <c r="L42" s="17"/>
      <c r="M42" s="16" t="str">
        <f t="shared" si="3"/>
        <v>A02 - MO Geometry</v>
      </c>
    </row>
    <row r="43" ht="22.5" customHeight="1">
      <c r="A43" s="12"/>
      <c r="B43" s="12"/>
      <c r="C43" s="30" t="str">
        <f t="shared" ref="C43:C44" si="4">"Monocoque"</f>
        <v>Monocoque</v>
      </c>
      <c r="D43" s="14"/>
      <c r="E43" s="14"/>
      <c r="F43" s="30"/>
      <c r="G43" s="16"/>
      <c r="H43" s="17"/>
      <c r="I43" s="30"/>
      <c r="J43" s="27"/>
      <c r="K43" s="17"/>
      <c r="L43" s="17"/>
      <c r="M43" s="16" t="str">
        <f t="shared" si="3"/>
        <v>A02 - MO Geometry</v>
      </c>
    </row>
    <row r="44" ht="22.5" customHeight="1">
      <c r="A44" s="12"/>
      <c r="B44" s="12"/>
      <c r="C44" s="30" t="str">
        <f t="shared" si="4"/>
        <v>Monocoque</v>
      </c>
      <c r="D44" s="14"/>
      <c r="E44" s="14"/>
      <c r="F44" s="30"/>
      <c r="G44" s="16"/>
      <c r="H44" s="17"/>
      <c r="I44" s="30"/>
      <c r="J44" s="27"/>
      <c r="K44" s="17"/>
      <c r="L44" s="17"/>
      <c r="M44" s="16" t="str">
        <f t="shared" si="3"/>
        <v>A02 - MO Geometry</v>
      </c>
    </row>
    <row r="45" ht="1.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</row>
    <row r="46">
      <c r="A46" s="26"/>
    </row>
    <row r="47">
      <c r="A47" s="26"/>
      <c r="B47" s="26"/>
    </row>
    <row r="48" ht="22.5" customHeight="1">
      <c r="A48" s="4" t="s">
        <v>58</v>
      </c>
      <c r="B48" s="4" t="s">
        <v>67</v>
      </c>
      <c r="C48" s="4" t="s">
        <v>0</v>
      </c>
      <c r="D48" s="4" t="s">
        <v>68</v>
      </c>
      <c r="E48" s="4" t="s">
        <v>69</v>
      </c>
      <c r="F48" s="4" t="s">
        <v>60</v>
      </c>
      <c r="G48" s="4" t="s">
        <v>7</v>
      </c>
      <c r="H48" s="4" t="s">
        <v>204</v>
      </c>
      <c r="I48" s="4" t="s">
        <v>72</v>
      </c>
      <c r="J48" s="4" t="s">
        <v>70</v>
      </c>
      <c r="K48" s="4" t="s">
        <v>206</v>
      </c>
      <c r="L48" s="4" t="s">
        <v>62</v>
      </c>
      <c r="M48" s="4" t="s">
        <v>207</v>
      </c>
    </row>
    <row r="49" ht="22.5" customHeight="1">
      <c r="A49" s="12"/>
      <c r="B49" s="12"/>
      <c r="C49" s="30" t="str">
        <f t="shared" ref="C49:C53" si="5">"Monocoque"</f>
        <v>Monocoque</v>
      </c>
      <c r="D49" s="14"/>
      <c r="E49" s="14"/>
      <c r="F49" s="30"/>
      <c r="G49" s="16"/>
      <c r="H49" s="17"/>
      <c r="I49" s="30"/>
      <c r="J49" s="27"/>
      <c r="K49" s="17"/>
      <c r="L49" s="17"/>
      <c r="M49" s="16" t="str">
        <f t="shared" ref="M49:M53" si="6">"A03 - Protective Structures"</f>
        <v>A03 - Protective Structures</v>
      </c>
    </row>
    <row r="50" ht="22.5" customHeight="1">
      <c r="A50" s="12"/>
      <c r="B50" s="12"/>
      <c r="C50" s="30" t="str">
        <f t="shared" si="5"/>
        <v>Monocoque</v>
      </c>
      <c r="D50" s="14"/>
      <c r="E50" s="14"/>
      <c r="F50" s="30"/>
      <c r="G50" s="16"/>
      <c r="H50" s="17"/>
      <c r="I50" s="30"/>
      <c r="J50" s="27"/>
      <c r="K50" s="17"/>
      <c r="L50" s="17"/>
      <c r="M50" s="16" t="str">
        <f t="shared" si="6"/>
        <v>A03 - Protective Structures</v>
      </c>
    </row>
    <row r="51" ht="22.5" customHeight="1">
      <c r="A51" s="12"/>
      <c r="B51" s="12"/>
      <c r="C51" s="30" t="str">
        <f t="shared" si="5"/>
        <v>Monocoque</v>
      </c>
      <c r="D51" s="14"/>
      <c r="E51" s="14"/>
      <c r="F51" s="30"/>
      <c r="G51" s="16"/>
      <c r="H51" s="17"/>
      <c r="I51" s="30"/>
      <c r="J51" s="27"/>
      <c r="K51" s="17"/>
      <c r="L51" s="17"/>
      <c r="M51" s="16" t="str">
        <f t="shared" si="6"/>
        <v>A03 - Protective Structures</v>
      </c>
    </row>
    <row r="52" ht="22.5" customHeight="1">
      <c r="A52" s="12"/>
      <c r="B52" s="12"/>
      <c r="C52" s="30" t="str">
        <f t="shared" si="5"/>
        <v>Monocoque</v>
      </c>
      <c r="D52" s="14"/>
      <c r="E52" s="14"/>
      <c r="F52" s="30"/>
      <c r="G52" s="16"/>
      <c r="H52" s="17"/>
      <c r="I52" s="30"/>
      <c r="J52" s="27"/>
      <c r="K52" s="17"/>
      <c r="L52" s="17"/>
      <c r="M52" s="16" t="str">
        <f t="shared" si="6"/>
        <v>A03 - Protective Structures</v>
      </c>
    </row>
    <row r="53" ht="22.5" customHeight="1">
      <c r="A53" s="12"/>
      <c r="B53" s="12"/>
      <c r="C53" s="30" t="str">
        <f t="shared" si="5"/>
        <v>Monocoque</v>
      </c>
      <c r="D53" s="14"/>
      <c r="E53" s="14"/>
      <c r="F53" s="30"/>
      <c r="G53" s="16"/>
      <c r="H53" s="17"/>
      <c r="I53" s="30"/>
      <c r="J53" s="27"/>
      <c r="K53" s="17"/>
      <c r="L53" s="17"/>
      <c r="M53" s="16" t="str">
        <f t="shared" si="6"/>
        <v>A03 - Protective Structures</v>
      </c>
    </row>
    <row r="54" ht="1.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  <row r="55">
      <c r="A55" s="26"/>
    </row>
    <row r="56">
      <c r="A56" s="26"/>
      <c r="B56" s="26"/>
    </row>
    <row r="57" ht="22.5" customHeight="1">
      <c r="A57" s="4" t="s">
        <v>58</v>
      </c>
      <c r="B57" s="4" t="s">
        <v>67</v>
      </c>
      <c r="C57" s="4" t="s">
        <v>0</v>
      </c>
      <c r="D57" s="4" t="s">
        <v>68</v>
      </c>
      <c r="E57" s="4" t="s">
        <v>69</v>
      </c>
      <c r="F57" s="4" t="s">
        <v>60</v>
      </c>
      <c r="G57" s="4" t="s">
        <v>7</v>
      </c>
      <c r="H57" s="4" t="s">
        <v>204</v>
      </c>
      <c r="I57" s="4" t="s">
        <v>72</v>
      </c>
      <c r="J57" s="4" t="s">
        <v>70</v>
      </c>
      <c r="K57" s="4" t="s">
        <v>206</v>
      </c>
      <c r="L57" s="4" t="s">
        <v>62</v>
      </c>
      <c r="M57" s="4" t="s">
        <v>207</v>
      </c>
    </row>
    <row r="58" ht="22.5" customHeight="1">
      <c r="A58" s="12" t="s">
        <v>606</v>
      </c>
      <c r="B58" s="12" t="s">
        <v>607</v>
      </c>
      <c r="C58" s="13" t="s">
        <v>112</v>
      </c>
      <c r="D58" s="14"/>
      <c r="E58" s="14"/>
      <c r="F58" s="30"/>
      <c r="G58" s="13"/>
      <c r="H58" s="12"/>
      <c r="I58" s="30"/>
      <c r="J58" s="27"/>
      <c r="K58" s="17"/>
      <c r="L58" s="17"/>
      <c r="M58" s="16" t="str">
        <f t="shared" ref="M58:M70" si="7">"A05 - SES and Ply Schedules"</f>
        <v>A05 - SES and Ply Schedules</v>
      </c>
    </row>
    <row r="59" ht="22.5" customHeight="1">
      <c r="A59" s="12" t="s">
        <v>608</v>
      </c>
      <c r="B59" s="12" t="s">
        <v>609</v>
      </c>
      <c r="C59" s="13" t="s">
        <v>112</v>
      </c>
      <c r="D59" s="15">
        <v>46245.0</v>
      </c>
      <c r="E59" s="15">
        <v>46265.0</v>
      </c>
      <c r="F59" s="13" t="s">
        <v>75</v>
      </c>
      <c r="G59" s="16"/>
      <c r="H59" s="17"/>
      <c r="I59" s="13" t="s">
        <v>81</v>
      </c>
      <c r="J59" s="27"/>
      <c r="K59" s="12" t="s">
        <v>986</v>
      </c>
      <c r="L59" s="17"/>
      <c r="M59" s="16" t="str">
        <f t="shared" si="7"/>
        <v>A05 - SES and Ply Schedules</v>
      </c>
    </row>
    <row r="60" ht="22.5" customHeight="1">
      <c r="A60" s="12" t="s">
        <v>610</v>
      </c>
      <c r="B60" s="12" t="s">
        <v>611</v>
      </c>
      <c r="C60" s="13" t="s">
        <v>112</v>
      </c>
      <c r="D60" s="15">
        <v>46247.0</v>
      </c>
      <c r="E60" s="15">
        <v>46276.0</v>
      </c>
      <c r="F60" s="13" t="s">
        <v>75</v>
      </c>
      <c r="G60" s="16"/>
      <c r="H60" s="17"/>
      <c r="I60" s="13" t="s">
        <v>91</v>
      </c>
      <c r="J60" s="27"/>
      <c r="K60" s="12" t="s">
        <v>987</v>
      </c>
      <c r="L60" s="17"/>
      <c r="M60" s="16" t="str">
        <f t="shared" si="7"/>
        <v>A05 - SES and Ply Schedules</v>
      </c>
    </row>
    <row r="61" ht="22.5" customHeight="1">
      <c r="A61" s="12" t="s">
        <v>612</v>
      </c>
      <c r="B61" s="12" t="s">
        <v>613</v>
      </c>
      <c r="C61" s="13" t="s">
        <v>112</v>
      </c>
      <c r="D61" s="15">
        <v>46284.0</v>
      </c>
      <c r="E61" s="15">
        <v>46284.0</v>
      </c>
      <c r="F61" s="13" t="s">
        <v>75</v>
      </c>
      <c r="G61" s="16"/>
      <c r="H61" s="17"/>
      <c r="I61" s="13" t="s">
        <v>76</v>
      </c>
      <c r="J61" s="27"/>
      <c r="K61" s="12" t="s">
        <v>988</v>
      </c>
      <c r="L61" s="17"/>
      <c r="M61" s="16" t="str">
        <f t="shared" si="7"/>
        <v>A05 - SES and Ply Schedules</v>
      </c>
    </row>
    <row r="62" ht="22.5" customHeight="1">
      <c r="A62" s="12" t="s">
        <v>614</v>
      </c>
      <c r="B62" s="12" t="s">
        <v>615</v>
      </c>
      <c r="C62" s="13" t="s">
        <v>112</v>
      </c>
      <c r="D62" s="15">
        <v>46292.0</v>
      </c>
      <c r="E62" s="15">
        <v>46299.0</v>
      </c>
      <c r="F62" s="13" t="s">
        <v>75</v>
      </c>
      <c r="G62" s="16"/>
      <c r="H62" s="17"/>
      <c r="I62" s="13" t="s">
        <v>81</v>
      </c>
      <c r="J62" s="27"/>
      <c r="K62" s="12" t="s">
        <v>989</v>
      </c>
      <c r="L62" s="12" t="s">
        <v>990</v>
      </c>
      <c r="M62" s="16" t="str">
        <f t="shared" si="7"/>
        <v>A05 - SES and Ply Schedules</v>
      </c>
    </row>
    <row r="63" ht="22.5" customHeight="1">
      <c r="A63" s="12" t="s">
        <v>616</v>
      </c>
      <c r="B63" s="12" t="s">
        <v>617</v>
      </c>
      <c r="C63" s="13" t="s">
        <v>112</v>
      </c>
      <c r="D63" s="15">
        <v>46331.0</v>
      </c>
      <c r="E63" s="15">
        <v>46331.0</v>
      </c>
      <c r="F63" s="13" t="s">
        <v>75</v>
      </c>
      <c r="G63" s="16"/>
      <c r="H63" s="17"/>
      <c r="I63" s="13" t="s">
        <v>76</v>
      </c>
      <c r="J63" s="27"/>
      <c r="K63" s="12" t="s">
        <v>991</v>
      </c>
      <c r="L63" s="17"/>
      <c r="M63" s="16" t="str">
        <f t="shared" si="7"/>
        <v>A05 - SES and Ply Schedules</v>
      </c>
    </row>
    <row r="64" ht="22.5" customHeight="1">
      <c r="A64" s="12" t="s">
        <v>619</v>
      </c>
      <c r="B64" s="12" t="s">
        <v>620</v>
      </c>
      <c r="C64" s="13" t="s">
        <v>112</v>
      </c>
      <c r="D64" s="15">
        <v>46335.0</v>
      </c>
      <c r="E64" s="15">
        <v>46336.0</v>
      </c>
      <c r="F64" s="13" t="s">
        <v>75</v>
      </c>
      <c r="G64" s="16"/>
      <c r="H64" s="17"/>
      <c r="I64" s="13" t="s">
        <v>76</v>
      </c>
      <c r="J64" s="27"/>
      <c r="K64" s="12" t="s">
        <v>992</v>
      </c>
      <c r="L64" s="17"/>
      <c r="M64" s="16" t="str">
        <f t="shared" si="7"/>
        <v>A05 - SES and Ply Schedules</v>
      </c>
    </row>
    <row r="65" ht="22.5" customHeight="1">
      <c r="A65" s="12" t="s">
        <v>621</v>
      </c>
      <c r="B65" s="12" t="s">
        <v>622</v>
      </c>
      <c r="C65" s="13" t="s">
        <v>112</v>
      </c>
      <c r="D65" s="15">
        <v>46295.0</v>
      </c>
      <c r="E65" s="15">
        <v>46346.0</v>
      </c>
      <c r="F65" s="13" t="s">
        <v>75</v>
      </c>
      <c r="G65" s="16"/>
      <c r="H65" s="17"/>
      <c r="I65" s="13" t="s">
        <v>76</v>
      </c>
      <c r="J65" s="27"/>
      <c r="K65" s="12" t="s">
        <v>993</v>
      </c>
      <c r="L65" s="17"/>
      <c r="M65" s="16" t="str">
        <f t="shared" si="7"/>
        <v>A05 - SES and Ply Schedules</v>
      </c>
    </row>
    <row r="66" ht="22.5" customHeight="1">
      <c r="A66" s="12" t="s">
        <v>623</v>
      </c>
      <c r="B66" s="12" t="s">
        <v>624</v>
      </c>
      <c r="C66" s="13" t="s">
        <v>112</v>
      </c>
      <c r="D66" s="15">
        <v>46357.0</v>
      </c>
      <c r="E66" s="15">
        <v>46357.0</v>
      </c>
      <c r="F66" s="13" t="s">
        <v>75</v>
      </c>
      <c r="G66" s="16"/>
      <c r="H66" s="17"/>
      <c r="I66" s="13" t="s">
        <v>76</v>
      </c>
      <c r="J66" s="27"/>
      <c r="K66" s="12" t="s">
        <v>994</v>
      </c>
      <c r="L66" s="17"/>
      <c r="M66" s="16" t="str">
        <f t="shared" si="7"/>
        <v>A05 - SES and Ply Schedules</v>
      </c>
    </row>
    <row r="67" ht="22.5" customHeight="1">
      <c r="A67" s="12" t="s">
        <v>625</v>
      </c>
      <c r="B67" s="12" t="s">
        <v>626</v>
      </c>
      <c r="C67" s="13" t="s">
        <v>112</v>
      </c>
      <c r="D67" s="15">
        <v>46251.0</v>
      </c>
      <c r="E67" s="15">
        <v>46255.0</v>
      </c>
      <c r="F67" s="13" t="s">
        <v>75</v>
      </c>
      <c r="G67" s="16"/>
      <c r="H67" s="12"/>
      <c r="I67" s="13" t="s">
        <v>81</v>
      </c>
      <c r="J67" s="27"/>
      <c r="K67" s="12" t="s">
        <v>995</v>
      </c>
      <c r="L67" s="17"/>
      <c r="M67" s="16" t="str">
        <f t="shared" si="7"/>
        <v>A05 - SES and Ply Schedules</v>
      </c>
    </row>
    <row r="68" ht="22.5" customHeight="1">
      <c r="A68" s="12"/>
      <c r="B68" s="12"/>
      <c r="C68" s="30" t="str">
        <f t="shared" ref="C68:C70" si="8">"Monocoque"</f>
        <v>Monocoque</v>
      </c>
      <c r="D68" s="14"/>
      <c r="E68" s="14"/>
      <c r="F68" s="30"/>
      <c r="G68" s="16"/>
      <c r="H68" s="17"/>
      <c r="I68" s="30"/>
      <c r="J68" s="27"/>
      <c r="K68" s="17"/>
      <c r="L68" s="17"/>
      <c r="M68" s="16" t="str">
        <f t="shared" si="7"/>
        <v>A05 - SES and Ply Schedules</v>
      </c>
    </row>
    <row r="69" ht="22.5" customHeight="1">
      <c r="A69" s="12"/>
      <c r="B69" s="12"/>
      <c r="C69" s="30" t="str">
        <f t="shared" si="8"/>
        <v>Monocoque</v>
      </c>
      <c r="D69" s="14"/>
      <c r="E69" s="14"/>
      <c r="F69" s="30"/>
      <c r="G69" s="16"/>
      <c r="H69" s="17"/>
      <c r="I69" s="30"/>
      <c r="J69" s="27"/>
      <c r="K69" s="17"/>
      <c r="L69" s="17"/>
      <c r="M69" s="16" t="str">
        <f t="shared" si="7"/>
        <v>A05 - SES and Ply Schedules</v>
      </c>
    </row>
    <row r="70" ht="22.5" customHeight="1">
      <c r="A70" s="12"/>
      <c r="B70" s="12"/>
      <c r="C70" s="30" t="str">
        <f t="shared" si="8"/>
        <v>Monocoque</v>
      </c>
      <c r="D70" s="14"/>
      <c r="E70" s="14"/>
      <c r="F70" s="30"/>
      <c r="G70" s="16"/>
      <c r="H70" s="17"/>
      <c r="I70" s="30"/>
      <c r="J70" s="27"/>
      <c r="K70" s="17"/>
      <c r="L70" s="17"/>
      <c r="M70" s="16" t="str">
        <f t="shared" si="7"/>
        <v>A05 - SES and Ply Schedules</v>
      </c>
    </row>
    <row r="71" ht="1.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</row>
    <row r="72">
      <c r="A72" s="26"/>
    </row>
    <row r="73">
      <c r="A73" s="26"/>
      <c r="B73" s="26"/>
    </row>
    <row r="74" ht="22.5" customHeight="1">
      <c r="A74" s="4" t="s">
        <v>58</v>
      </c>
      <c r="B74" s="4" t="s">
        <v>67</v>
      </c>
      <c r="C74" s="4" t="s">
        <v>0</v>
      </c>
      <c r="D74" s="4" t="s">
        <v>68</v>
      </c>
      <c r="E74" s="4" t="s">
        <v>69</v>
      </c>
      <c r="F74" s="4" t="s">
        <v>60</v>
      </c>
      <c r="G74" s="4" t="s">
        <v>7</v>
      </c>
      <c r="H74" s="4" t="s">
        <v>204</v>
      </c>
      <c r="I74" s="4" t="s">
        <v>72</v>
      </c>
      <c r="J74" s="4" t="s">
        <v>70</v>
      </c>
      <c r="K74" s="4" t="s">
        <v>206</v>
      </c>
      <c r="L74" s="4" t="s">
        <v>62</v>
      </c>
      <c r="M74" s="4" t="s">
        <v>207</v>
      </c>
    </row>
    <row r="75" ht="22.5" customHeight="1">
      <c r="A75" s="12"/>
      <c r="B75" s="12"/>
      <c r="C75" s="30" t="str">
        <f t="shared" ref="C75:C79" si="9">"Monocoque"</f>
        <v>Monocoque</v>
      </c>
      <c r="D75" s="14"/>
      <c r="E75" s="14"/>
      <c r="F75" s="30"/>
      <c r="G75" s="16"/>
      <c r="H75" s="17"/>
      <c r="I75" s="30"/>
      <c r="J75" s="27"/>
      <c r="K75" s="17"/>
      <c r="L75" s="17"/>
      <c r="M75" s="16" t="str">
        <f t="shared" ref="M75:M79" si="10">"A06 - Other Monocoque"</f>
        <v>A06 - Other Monocoque</v>
      </c>
    </row>
    <row r="76" ht="22.5" customHeight="1">
      <c r="A76" s="12"/>
      <c r="B76" s="12"/>
      <c r="C76" s="30" t="str">
        <f t="shared" si="9"/>
        <v>Monocoque</v>
      </c>
      <c r="D76" s="14"/>
      <c r="E76" s="14"/>
      <c r="F76" s="30"/>
      <c r="G76" s="16"/>
      <c r="H76" s="17"/>
      <c r="I76" s="30"/>
      <c r="J76" s="27"/>
      <c r="K76" s="17"/>
      <c r="L76" s="17"/>
      <c r="M76" s="16" t="str">
        <f t="shared" si="10"/>
        <v>A06 - Other Monocoque</v>
      </c>
    </row>
    <row r="77" ht="22.5" customHeight="1">
      <c r="A77" s="12"/>
      <c r="B77" s="12"/>
      <c r="C77" s="30" t="str">
        <f t="shared" si="9"/>
        <v>Monocoque</v>
      </c>
      <c r="D77" s="14"/>
      <c r="E77" s="14"/>
      <c r="F77" s="30"/>
      <c r="G77" s="16"/>
      <c r="H77" s="17"/>
      <c r="I77" s="30"/>
      <c r="J77" s="27"/>
      <c r="K77" s="17"/>
      <c r="L77" s="17"/>
      <c r="M77" s="16" t="str">
        <f t="shared" si="10"/>
        <v>A06 - Other Monocoque</v>
      </c>
    </row>
    <row r="78" ht="22.5" customHeight="1">
      <c r="A78" s="12"/>
      <c r="B78" s="12"/>
      <c r="C78" s="30" t="str">
        <f t="shared" si="9"/>
        <v>Monocoque</v>
      </c>
      <c r="D78" s="14"/>
      <c r="E78" s="14"/>
      <c r="F78" s="30"/>
      <c r="G78" s="16"/>
      <c r="H78" s="17"/>
      <c r="I78" s="30"/>
      <c r="J78" s="27"/>
      <c r="K78" s="17"/>
      <c r="L78" s="17"/>
      <c r="M78" s="16" t="str">
        <f t="shared" si="10"/>
        <v>A06 - Other Monocoque</v>
      </c>
    </row>
    <row r="79" ht="22.5" customHeight="1">
      <c r="A79" s="12"/>
      <c r="B79" s="12"/>
      <c r="C79" s="30" t="str">
        <f t="shared" si="9"/>
        <v>Monocoque</v>
      </c>
      <c r="D79" s="14"/>
      <c r="E79" s="14"/>
      <c r="F79" s="30"/>
      <c r="G79" s="16"/>
      <c r="H79" s="17"/>
      <c r="I79" s="30"/>
      <c r="J79" s="27"/>
      <c r="K79" s="17"/>
      <c r="L79" s="17"/>
      <c r="M79" s="16" t="str">
        <f t="shared" si="10"/>
        <v>A06 - Other Monocoque</v>
      </c>
    </row>
    <row r="80" ht="1.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</row>
    <row r="81">
      <c r="A81" s="26"/>
    </row>
  </sheetData>
  <mergeCells count="10">
    <mergeCell ref="A72:M72"/>
    <mergeCell ref="B73:M73"/>
    <mergeCell ref="A81:M81"/>
    <mergeCell ref="B1:M1"/>
    <mergeCell ref="A37:M37"/>
    <mergeCell ref="B38:M38"/>
    <mergeCell ref="A46:M46"/>
    <mergeCell ref="B47:M47"/>
    <mergeCell ref="A55:M55"/>
    <mergeCell ref="B56:M56"/>
  </mergeCells>
  <dataValidations>
    <dataValidation type="list" allowBlank="1" sqref="J3:J35 J40:J44 J49:J53 J58:J70 J75:J79">
      <formula1>#REF!</formula1>
    </dataValidation>
    <dataValidation type="list" allowBlank="1" sqref="F3:F35 F40:F44 F49:F53 F58:F70 F75:F79">
      <formula1>#REF!</formula1>
    </dataValidation>
    <dataValidation type="custom" allowBlank="1" showDropDown="1" sqref="D3:E35 D40:E44 D49:E53 D58:E70 D75:E79">
      <formula1>OR(NOT(ISERROR(DATEVALUE(D3))), AND(ISNUMBER(D3), LEFT(CELL("format", D3))="D"))</formula1>
    </dataValidation>
    <dataValidation type="list" allowBlank="1" sqref="I3:I35 I40:I44 I49:I53 I58:I70 I75:I79">
      <formula1>#REF!</formula1>
    </dataValidation>
    <dataValidation allowBlank="1" showDropDown="1" sqref="B3:B35 K3:L35 B40:B44 K40:L44 B49:B53 K49:L53 B58:B70 K58:L70 B75:B79 K75:L79"/>
    <dataValidation allowBlank="1" showDropDown="1" sqref="A3:A35 A40:A44 A49:A53 A58:A70 A75:A79"/>
    <dataValidation type="list" allowBlank="1" sqref="G3:G35 M3:M35 G40:G44 M40:M44 G49:G53 M49:M53 G58:G70 M58:M70 G75:G79 M75:M79">
      <formula1>#REF!</formula1>
    </dataValidation>
    <dataValidation type="list" allowBlank="1" sqref="C3:C35 C40:C44 C49:C53 C58:C70 C75:C79">
      <formula1>#REF!</formula1>
    </dataValidation>
  </dataValidation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40"/>
    <hyperlink r:id="rId33" ref="H41"/>
    <hyperlink r:id="rId34" ref="H42"/>
  </hyperlinks>
  <drawing r:id="rId35"/>
  <tableParts count="5">
    <tablePart r:id="rId41"/>
    <tablePart r:id="rId42"/>
    <tablePart r:id="rId43"/>
    <tablePart r:id="rId44"/>
    <tablePart r:id="rId4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87B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7.0"/>
    <col customWidth="1" hidden="1" min="3" max="3" width="16.38"/>
    <col customWidth="1" min="4" max="5" width="13.88"/>
    <col customWidth="1" min="6" max="6" width="14.38"/>
    <col customWidth="1" min="7" max="7" width="17.0"/>
    <col customWidth="1" min="8" max="8" width="17.63"/>
    <col customWidth="1" min="9" max="9" width="14.0"/>
    <col customWidth="1" min="10" max="10" width="19.5"/>
    <col customWidth="1" min="11" max="12" width="25.13"/>
    <col customWidth="1" hidden="1" min="13" max="13" width="25.13"/>
  </cols>
  <sheetData>
    <row r="1">
      <c r="A1" s="26"/>
      <c r="B1" s="26"/>
    </row>
    <row r="2" ht="22.5" customHeight="1">
      <c r="A2" s="4" t="s">
        <v>58</v>
      </c>
      <c r="B2" s="4" t="s">
        <v>67</v>
      </c>
      <c r="C2" s="4" t="s">
        <v>0</v>
      </c>
      <c r="D2" s="4" t="s">
        <v>68</v>
      </c>
      <c r="E2" s="4" t="s">
        <v>69</v>
      </c>
      <c r="F2" s="4" t="s">
        <v>60</v>
      </c>
      <c r="G2" s="4" t="s">
        <v>7</v>
      </c>
      <c r="H2" s="4" t="s">
        <v>204</v>
      </c>
      <c r="I2" s="4" t="s">
        <v>72</v>
      </c>
      <c r="J2" s="4" t="s">
        <v>70</v>
      </c>
      <c r="K2" s="4" t="s">
        <v>206</v>
      </c>
      <c r="L2" s="4" t="s">
        <v>62</v>
      </c>
      <c r="M2" s="4" t="s">
        <v>207</v>
      </c>
    </row>
    <row r="3" ht="22.5" customHeight="1">
      <c r="A3" s="12" t="s">
        <v>627</v>
      </c>
      <c r="B3" s="12" t="s">
        <v>628</v>
      </c>
      <c r="C3" s="13" t="s">
        <v>115</v>
      </c>
      <c r="D3" s="15">
        <v>46265.0</v>
      </c>
      <c r="E3" s="15">
        <v>46270.0</v>
      </c>
      <c r="F3" s="13" t="s">
        <v>75</v>
      </c>
      <c r="G3" s="16"/>
      <c r="H3" s="28" t="s">
        <v>938</v>
      </c>
      <c r="I3" s="30"/>
      <c r="J3" s="27"/>
      <c r="K3" s="17"/>
      <c r="L3" s="12" t="s">
        <v>939</v>
      </c>
      <c r="M3" s="16" t="str">
        <f t="shared" ref="M3:M8" si="1">"A01 - Suspension"</f>
        <v>A01 - Suspension</v>
      </c>
    </row>
    <row r="4" ht="22.5" customHeight="1">
      <c r="A4" s="12" t="s">
        <v>629</v>
      </c>
      <c r="B4" s="12" t="s">
        <v>630</v>
      </c>
      <c r="C4" s="13" t="s">
        <v>115</v>
      </c>
      <c r="D4" s="15">
        <v>46271.0</v>
      </c>
      <c r="E4" s="15">
        <v>46278.0</v>
      </c>
      <c r="F4" s="13" t="s">
        <v>75</v>
      </c>
      <c r="G4" s="16"/>
      <c r="H4" s="28" t="s">
        <v>938</v>
      </c>
      <c r="I4" s="30"/>
      <c r="J4" s="29" t="s">
        <v>631</v>
      </c>
      <c r="K4" s="17"/>
      <c r="L4" s="17"/>
      <c r="M4" s="16" t="str">
        <f t="shared" si="1"/>
        <v>A01 - Suspension</v>
      </c>
    </row>
    <row r="5" ht="22.5" customHeight="1">
      <c r="A5" s="12" t="s">
        <v>631</v>
      </c>
      <c r="B5" s="12" t="s">
        <v>632</v>
      </c>
      <c r="C5" s="13" t="s">
        <v>115</v>
      </c>
      <c r="D5" s="15">
        <v>46270.0</v>
      </c>
      <c r="E5" s="15">
        <v>46284.0</v>
      </c>
      <c r="F5" s="13" t="s">
        <v>75</v>
      </c>
      <c r="G5" s="16"/>
      <c r="H5" s="28" t="s">
        <v>938</v>
      </c>
      <c r="I5" s="30"/>
      <c r="J5" s="27"/>
      <c r="K5" s="17"/>
      <c r="L5" s="12" t="s">
        <v>944</v>
      </c>
      <c r="M5" s="16" t="str">
        <f t="shared" si="1"/>
        <v>A01 - Suspension</v>
      </c>
    </row>
    <row r="6" ht="22.5" customHeight="1">
      <c r="A6" s="12" t="s">
        <v>634</v>
      </c>
      <c r="B6" s="12" t="s">
        <v>263</v>
      </c>
      <c r="C6" s="30" t="str">
        <f t="shared" ref="C6:C8" si="2">"Suspension"</f>
        <v>Suspension</v>
      </c>
      <c r="D6" s="14"/>
      <c r="E6" s="14"/>
      <c r="F6" s="30"/>
      <c r="G6" s="16"/>
      <c r="H6" s="17"/>
      <c r="I6" s="30"/>
      <c r="J6" s="27"/>
      <c r="K6" s="17"/>
      <c r="L6" s="17"/>
      <c r="M6" s="16" t="str">
        <f t="shared" si="1"/>
        <v>A01 - Suspension</v>
      </c>
    </row>
    <row r="7" ht="22.5" customHeight="1">
      <c r="A7" s="12"/>
      <c r="B7" s="12"/>
      <c r="C7" s="30" t="str">
        <f t="shared" si="2"/>
        <v>Suspension</v>
      </c>
      <c r="D7" s="14"/>
      <c r="E7" s="14"/>
      <c r="F7" s="30"/>
      <c r="G7" s="16"/>
      <c r="H7" s="17"/>
      <c r="I7" s="30"/>
      <c r="J7" s="27"/>
      <c r="K7" s="17"/>
      <c r="L7" s="17"/>
      <c r="M7" s="16" t="str">
        <f t="shared" si="1"/>
        <v>A01 - Suspension</v>
      </c>
    </row>
    <row r="8" ht="22.5" customHeight="1">
      <c r="A8" s="12"/>
      <c r="B8" s="12"/>
      <c r="C8" s="30" t="str">
        <f t="shared" si="2"/>
        <v>Suspension</v>
      </c>
      <c r="D8" s="14"/>
      <c r="E8" s="14"/>
      <c r="F8" s="30"/>
      <c r="G8" s="16"/>
      <c r="H8" s="17"/>
      <c r="I8" s="30"/>
      <c r="J8" s="27"/>
      <c r="K8" s="17"/>
      <c r="L8" s="17"/>
      <c r="M8" s="16" t="str">
        <f t="shared" si="1"/>
        <v>A01 - Suspension</v>
      </c>
    </row>
    <row r="9" ht="1.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</row>
    <row r="10">
      <c r="A10" s="26"/>
    </row>
    <row r="11">
      <c r="A11" s="26"/>
      <c r="B11" s="26"/>
    </row>
    <row r="12" ht="22.5" customHeight="1">
      <c r="A12" s="4" t="s">
        <v>58</v>
      </c>
      <c r="B12" s="4" t="s">
        <v>67</v>
      </c>
      <c r="C12" s="4" t="s">
        <v>0</v>
      </c>
      <c r="D12" s="4" t="s">
        <v>68</v>
      </c>
      <c r="E12" s="4" t="s">
        <v>69</v>
      </c>
      <c r="F12" s="4" t="s">
        <v>60</v>
      </c>
      <c r="G12" s="4" t="s">
        <v>7</v>
      </c>
      <c r="H12" s="4" t="s">
        <v>204</v>
      </c>
      <c r="I12" s="4" t="s">
        <v>72</v>
      </c>
      <c r="J12" s="4" t="s">
        <v>70</v>
      </c>
      <c r="K12" s="4" t="s">
        <v>206</v>
      </c>
      <c r="L12" s="4" t="s">
        <v>62</v>
      </c>
      <c r="M12" s="4" t="s">
        <v>207</v>
      </c>
    </row>
    <row r="13" ht="22.5" customHeight="1">
      <c r="A13" s="12" t="s">
        <v>635</v>
      </c>
      <c r="B13" s="12" t="s">
        <v>636</v>
      </c>
      <c r="C13" s="13" t="s">
        <v>115</v>
      </c>
      <c r="D13" s="15">
        <v>46327.0</v>
      </c>
      <c r="E13" s="15">
        <v>46402.0</v>
      </c>
      <c r="F13" s="13" t="s">
        <v>75</v>
      </c>
      <c r="G13" s="16"/>
      <c r="H13" s="28" t="s">
        <v>954</v>
      </c>
      <c r="I13" s="30"/>
      <c r="J13" s="27"/>
      <c r="K13" s="17"/>
      <c r="L13" s="17"/>
      <c r="M13" s="16" t="str">
        <f t="shared" ref="M13:M22" si="3">"A02 - Links"</f>
        <v>A02 - Links</v>
      </c>
    </row>
    <row r="14" ht="22.5" customHeight="1">
      <c r="A14" s="12" t="s">
        <v>637</v>
      </c>
      <c r="B14" s="12" t="s">
        <v>638</v>
      </c>
      <c r="C14" s="13" t="s">
        <v>115</v>
      </c>
      <c r="D14" s="14"/>
      <c r="E14" s="14"/>
      <c r="F14" s="13" t="s">
        <v>75</v>
      </c>
      <c r="G14" s="16"/>
      <c r="H14" s="28" t="s">
        <v>954</v>
      </c>
      <c r="I14" s="13" t="s">
        <v>81</v>
      </c>
      <c r="J14" s="27"/>
      <c r="K14" s="17"/>
      <c r="L14" s="17"/>
      <c r="M14" s="16" t="str">
        <f t="shared" si="3"/>
        <v>A02 - Links</v>
      </c>
    </row>
    <row r="15" ht="22.5" customHeight="1">
      <c r="A15" s="12" t="s">
        <v>639</v>
      </c>
      <c r="B15" s="12" t="s">
        <v>640</v>
      </c>
      <c r="C15" s="13" t="s">
        <v>115</v>
      </c>
      <c r="D15" s="14"/>
      <c r="E15" s="14"/>
      <c r="F15" s="13" t="s">
        <v>75</v>
      </c>
      <c r="G15" s="16"/>
      <c r="H15" s="28" t="s">
        <v>954</v>
      </c>
      <c r="I15" s="13" t="s">
        <v>86</v>
      </c>
      <c r="J15" s="29" t="s">
        <v>629</v>
      </c>
      <c r="K15" s="17"/>
      <c r="L15" s="17"/>
      <c r="M15" s="16" t="str">
        <f t="shared" si="3"/>
        <v>A02 - Links</v>
      </c>
    </row>
    <row r="16" ht="22.5" customHeight="1">
      <c r="A16" s="12" t="s">
        <v>641</v>
      </c>
      <c r="B16" s="12" t="s">
        <v>642</v>
      </c>
      <c r="C16" s="13" t="s">
        <v>115</v>
      </c>
      <c r="D16" s="14"/>
      <c r="E16" s="14"/>
      <c r="F16" s="13" t="s">
        <v>75</v>
      </c>
      <c r="G16" s="16"/>
      <c r="H16" s="28" t="s">
        <v>954</v>
      </c>
      <c r="I16" s="13" t="s">
        <v>86</v>
      </c>
      <c r="J16" s="29" t="s">
        <v>639</v>
      </c>
      <c r="K16" s="17"/>
      <c r="L16" s="17"/>
      <c r="M16" s="16" t="str">
        <f t="shared" si="3"/>
        <v>A02 - Links</v>
      </c>
    </row>
    <row r="17" ht="22.5" customHeight="1">
      <c r="A17" s="12" t="s">
        <v>643</v>
      </c>
      <c r="B17" s="12" t="s">
        <v>644</v>
      </c>
      <c r="C17" s="13" t="s">
        <v>115</v>
      </c>
      <c r="D17" s="14"/>
      <c r="E17" s="14"/>
      <c r="F17" s="13" t="s">
        <v>75</v>
      </c>
      <c r="G17" s="16"/>
      <c r="H17" s="28" t="s">
        <v>954</v>
      </c>
      <c r="I17" s="13" t="s">
        <v>86</v>
      </c>
      <c r="J17" s="27"/>
      <c r="K17" s="17"/>
      <c r="L17" s="17"/>
      <c r="M17" s="16" t="str">
        <f t="shared" si="3"/>
        <v>A02 - Links</v>
      </c>
    </row>
    <row r="18" ht="22.5" customHeight="1">
      <c r="A18" s="12" t="s">
        <v>645</v>
      </c>
      <c r="B18" s="12" t="s">
        <v>646</v>
      </c>
      <c r="C18" s="13" t="s">
        <v>115</v>
      </c>
      <c r="D18" s="14"/>
      <c r="E18" s="14"/>
      <c r="F18" s="13" t="s">
        <v>75</v>
      </c>
      <c r="G18" s="16"/>
      <c r="H18" s="28" t="s">
        <v>954</v>
      </c>
      <c r="I18" s="13" t="s">
        <v>81</v>
      </c>
      <c r="J18" s="27"/>
      <c r="K18" s="17"/>
      <c r="L18" s="17"/>
      <c r="M18" s="16" t="str">
        <f t="shared" si="3"/>
        <v>A02 - Links</v>
      </c>
    </row>
    <row r="19" ht="22.5" customHeight="1">
      <c r="A19" s="12" t="s">
        <v>647</v>
      </c>
      <c r="B19" s="12" t="s">
        <v>648</v>
      </c>
      <c r="C19" s="13" t="s">
        <v>115</v>
      </c>
      <c r="D19" s="14"/>
      <c r="E19" s="14"/>
      <c r="F19" s="13" t="s">
        <v>75</v>
      </c>
      <c r="G19" s="16"/>
      <c r="H19" s="28" t="s">
        <v>954</v>
      </c>
      <c r="I19" s="13" t="s">
        <v>81</v>
      </c>
      <c r="J19" s="27"/>
      <c r="K19" s="17"/>
      <c r="L19" s="17"/>
      <c r="M19" s="16" t="str">
        <f t="shared" si="3"/>
        <v>A02 - Links</v>
      </c>
    </row>
    <row r="20" ht="22.5" customHeight="1">
      <c r="A20" s="12" t="s">
        <v>649</v>
      </c>
      <c r="B20" s="12" t="s">
        <v>650</v>
      </c>
      <c r="C20" s="13" t="s">
        <v>115</v>
      </c>
      <c r="D20" s="14"/>
      <c r="E20" s="14"/>
      <c r="F20" s="13" t="s">
        <v>75</v>
      </c>
      <c r="G20" s="16"/>
      <c r="H20" s="28" t="s">
        <v>954</v>
      </c>
      <c r="I20" s="13" t="s">
        <v>81</v>
      </c>
      <c r="J20" s="27"/>
      <c r="K20" s="17"/>
      <c r="L20" s="17"/>
      <c r="M20" s="16" t="str">
        <f t="shared" si="3"/>
        <v>A02 - Links</v>
      </c>
    </row>
    <row r="21" ht="22.5" customHeight="1">
      <c r="A21" s="12"/>
      <c r="B21" s="12"/>
      <c r="C21" s="30" t="str">
        <f t="shared" ref="C21:C22" si="4">"Suspension"</f>
        <v>Suspension</v>
      </c>
      <c r="D21" s="14"/>
      <c r="E21" s="14"/>
      <c r="F21" s="30"/>
      <c r="G21" s="16"/>
      <c r="H21" s="17"/>
      <c r="I21" s="30"/>
      <c r="J21" s="27"/>
      <c r="K21" s="17"/>
      <c r="L21" s="17"/>
      <c r="M21" s="16" t="str">
        <f t="shared" si="3"/>
        <v>A02 - Links</v>
      </c>
    </row>
    <row r="22" ht="22.5" customHeight="1">
      <c r="A22" s="12"/>
      <c r="B22" s="12"/>
      <c r="C22" s="30" t="str">
        <f t="shared" si="4"/>
        <v>Suspension</v>
      </c>
      <c r="D22" s="14"/>
      <c r="E22" s="14"/>
      <c r="F22" s="30"/>
      <c r="G22" s="16"/>
      <c r="H22" s="17"/>
      <c r="I22" s="30"/>
      <c r="J22" s="27"/>
      <c r="K22" s="17"/>
      <c r="L22" s="17"/>
      <c r="M22" s="16" t="str">
        <f t="shared" si="3"/>
        <v>A02 - Links</v>
      </c>
    </row>
    <row r="23" ht="1.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>
      <c r="A24" s="26"/>
    </row>
    <row r="25">
      <c r="A25" s="26"/>
      <c r="B25" s="26"/>
    </row>
    <row r="26" ht="22.5" customHeight="1">
      <c r="A26" s="4" t="s">
        <v>58</v>
      </c>
      <c r="B26" s="4" t="s">
        <v>67</v>
      </c>
      <c r="C26" s="4" t="s">
        <v>0</v>
      </c>
      <c r="D26" s="4" t="s">
        <v>68</v>
      </c>
      <c r="E26" s="4" t="s">
        <v>69</v>
      </c>
      <c r="F26" s="4" t="s">
        <v>60</v>
      </c>
      <c r="G26" s="4" t="s">
        <v>7</v>
      </c>
      <c r="H26" s="4" t="s">
        <v>204</v>
      </c>
      <c r="I26" s="4" t="s">
        <v>72</v>
      </c>
      <c r="J26" s="4" t="s">
        <v>70</v>
      </c>
      <c r="K26" s="4" t="s">
        <v>206</v>
      </c>
      <c r="L26" s="4" t="s">
        <v>62</v>
      </c>
      <c r="M26" s="4" t="s">
        <v>207</v>
      </c>
    </row>
    <row r="27" ht="22.5" customHeight="1">
      <c r="A27" s="12" t="s">
        <v>652</v>
      </c>
      <c r="B27" s="12" t="s">
        <v>653</v>
      </c>
      <c r="C27" s="13" t="s">
        <v>115</v>
      </c>
      <c r="D27" s="15">
        <v>46327.0</v>
      </c>
      <c r="E27" s="15">
        <v>46402.0</v>
      </c>
      <c r="F27" s="13" t="s">
        <v>75</v>
      </c>
      <c r="G27" s="16"/>
      <c r="H27" s="12"/>
      <c r="I27" s="30"/>
      <c r="J27" s="27"/>
      <c r="K27" s="17"/>
      <c r="L27" s="17"/>
      <c r="M27" s="16" t="str">
        <f t="shared" ref="M27:M31" si="5">"A03 - Clevises"</f>
        <v>A03 - Clevises</v>
      </c>
    </row>
    <row r="28" ht="22.5" customHeight="1">
      <c r="A28" s="12" t="s">
        <v>654</v>
      </c>
      <c r="B28" s="12" t="s">
        <v>655</v>
      </c>
      <c r="C28" s="13" t="s">
        <v>115</v>
      </c>
      <c r="D28" s="15">
        <v>46408.0</v>
      </c>
      <c r="E28" s="15">
        <v>46409.0</v>
      </c>
      <c r="F28" s="13" t="s">
        <v>75</v>
      </c>
      <c r="G28" s="16"/>
      <c r="H28" s="12"/>
      <c r="I28" s="30"/>
      <c r="J28" s="27"/>
      <c r="K28" s="17"/>
      <c r="L28" s="17"/>
      <c r="M28" s="16" t="str">
        <f t="shared" si="5"/>
        <v>A03 - Clevises</v>
      </c>
    </row>
    <row r="29" ht="22.5" customHeight="1">
      <c r="A29" s="12"/>
      <c r="B29" s="12"/>
      <c r="C29" s="30" t="str">
        <f t="shared" ref="C29:C31" si="6">"Suspension"</f>
        <v>Suspension</v>
      </c>
      <c r="D29" s="14"/>
      <c r="E29" s="14"/>
      <c r="F29" s="30"/>
      <c r="G29" s="16"/>
      <c r="H29" s="17"/>
      <c r="I29" s="30"/>
      <c r="J29" s="27"/>
      <c r="K29" s="17"/>
      <c r="L29" s="17"/>
      <c r="M29" s="16" t="str">
        <f t="shared" si="5"/>
        <v>A03 - Clevises</v>
      </c>
    </row>
    <row r="30" ht="22.5" customHeight="1">
      <c r="A30" s="12"/>
      <c r="B30" s="12"/>
      <c r="C30" s="30" t="str">
        <f t="shared" si="6"/>
        <v>Suspension</v>
      </c>
      <c r="D30" s="14"/>
      <c r="E30" s="14"/>
      <c r="F30" s="30"/>
      <c r="G30" s="16"/>
      <c r="H30" s="17"/>
      <c r="I30" s="30"/>
      <c r="J30" s="27"/>
      <c r="K30" s="17"/>
      <c r="L30" s="17"/>
      <c r="M30" s="16" t="str">
        <f t="shared" si="5"/>
        <v>A03 - Clevises</v>
      </c>
    </row>
    <row r="31" ht="22.5" customHeight="1">
      <c r="A31" s="12"/>
      <c r="B31" s="12"/>
      <c r="C31" s="30" t="str">
        <f t="shared" si="6"/>
        <v>Suspension</v>
      </c>
      <c r="D31" s="14"/>
      <c r="E31" s="14"/>
      <c r="F31" s="30"/>
      <c r="G31" s="16"/>
      <c r="H31" s="17"/>
      <c r="I31" s="30"/>
      <c r="J31" s="27"/>
      <c r="K31" s="17"/>
      <c r="L31" s="17"/>
      <c r="M31" s="16" t="str">
        <f t="shared" si="5"/>
        <v>A03 - Clevises</v>
      </c>
    </row>
    <row r="32" ht="1.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</row>
    <row r="33">
      <c r="A33" s="26"/>
    </row>
    <row r="34">
      <c r="A34" s="26"/>
      <c r="B34" s="26"/>
    </row>
    <row r="35" ht="22.5" customHeight="1">
      <c r="A35" s="4" t="s">
        <v>58</v>
      </c>
      <c r="B35" s="4" t="s">
        <v>67</v>
      </c>
      <c r="C35" s="4" t="s">
        <v>0</v>
      </c>
      <c r="D35" s="4" t="s">
        <v>68</v>
      </c>
      <c r="E35" s="4" t="s">
        <v>69</v>
      </c>
      <c r="F35" s="4" t="s">
        <v>60</v>
      </c>
      <c r="G35" s="4" t="s">
        <v>7</v>
      </c>
      <c r="H35" s="4" t="s">
        <v>204</v>
      </c>
      <c r="I35" s="4" t="s">
        <v>72</v>
      </c>
      <c r="J35" s="4" t="s">
        <v>70</v>
      </c>
      <c r="K35" s="4" t="s">
        <v>206</v>
      </c>
      <c r="L35" s="4" t="s">
        <v>62</v>
      </c>
      <c r="M35" s="4" t="s">
        <v>207</v>
      </c>
    </row>
    <row r="36" ht="22.5" customHeight="1">
      <c r="A36" s="12" t="s">
        <v>656</v>
      </c>
      <c r="B36" s="12" t="s">
        <v>657</v>
      </c>
      <c r="C36" s="13" t="s">
        <v>115</v>
      </c>
      <c r="D36" s="15">
        <v>46327.0</v>
      </c>
      <c r="E36" s="15">
        <v>46402.0</v>
      </c>
      <c r="F36" s="13" t="s">
        <v>75</v>
      </c>
      <c r="G36" s="16"/>
      <c r="H36" s="28" t="s">
        <v>977</v>
      </c>
      <c r="I36" s="30"/>
      <c r="J36" s="27"/>
      <c r="K36" s="17"/>
      <c r="L36" s="17"/>
      <c r="M36" s="16" t="str">
        <f t="shared" ref="M36:M40" si="7">"A04 - Rockers"</f>
        <v>A04 - Rockers</v>
      </c>
    </row>
    <row r="37" ht="22.5" customHeight="1">
      <c r="A37" s="12"/>
      <c r="B37" s="12"/>
      <c r="C37" s="30" t="str">
        <f t="shared" ref="C37:C40" si="8">"Suspension"</f>
        <v>Suspension</v>
      </c>
      <c r="D37" s="14"/>
      <c r="E37" s="14"/>
      <c r="F37" s="30"/>
      <c r="G37" s="16"/>
      <c r="H37" s="17"/>
      <c r="I37" s="30"/>
      <c r="J37" s="27"/>
      <c r="K37" s="17"/>
      <c r="L37" s="17"/>
      <c r="M37" s="16" t="str">
        <f t="shared" si="7"/>
        <v>A04 - Rockers</v>
      </c>
    </row>
    <row r="38" ht="22.5" customHeight="1">
      <c r="A38" s="12"/>
      <c r="B38" s="12"/>
      <c r="C38" s="30" t="str">
        <f t="shared" si="8"/>
        <v>Suspension</v>
      </c>
      <c r="D38" s="14"/>
      <c r="E38" s="14"/>
      <c r="F38" s="30"/>
      <c r="G38" s="16"/>
      <c r="H38" s="17"/>
      <c r="I38" s="30"/>
      <c r="J38" s="27"/>
      <c r="K38" s="17"/>
      <c r="L38" s="17"/>
      <c r="M38" s="16" t="str">
        <f t="shared" si="7"/>
        <v>A04 - Rockers</v>
      </c>
    </row>
    <row r="39" ht="22.5" customHeight="1">
      <c r="A39" s="12"/>
      <c r="B39" s="12"/>
      <c r="C39" s="30" t="str">
        <f t="shared" si="8"/>
        <v>Suspension</v>
      </c>
      <c r="D39" s="14"/>
      <c r="E39" s="14"/>
      <c r="F39" s="30"/>
      <c r="G39" s="16"/>
      <c r="H39" s="17"/>
      <c r="I39" s="30"/>
      <c r="J39" s="27"/>
      <c r="K39" s="17"/>
      <c r="L39" s="17"/>
      <c r="M39" s="16" t="str">
        <f t="shared" si="7"/>
        <v>A04 - Rockers</v>
      </c>
    </row>
    <row r="40" ht="22.5" customHeight="1">
      <c r="A40" s="12"/>
      <c r="B40" s="12"/>
      <c r="C40" s="30" t="str">
        <f t="shared" si="8"/>
        <v>Suspension</v>
      </c>
      <c r="D40" s="14"/>
      <c r="E40" s="14"/>
      <c r="F40" s="30"/>
      <c r="G40" s="16"/>
      <c r="H40" s="17"/>
      <c r="I40" s="30"/>
      <c r="J40" s="27"/>
      <c r="K40" s="17"/>
      <c r="L40" s="17"/>
      <c r="M40" s="16" t="str">
        <f t="shared" si="7"/>
        <v>A04 - Rockers</v>
      </c>
    </row>
    <row r="41" ht="1.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</row>
    <row r="42">
      <c r="A42" s="26"/>
    </row>
    <row r="43">
      <c r="A43" s="26"/>
      <c r="B43" s="26"/>
    </row>
    <row r="44" ht="22.5" customHeight="1">
      <c r="A44" s="4" t="s">
        <v>58</v>
      </c>
      <c r="B44" s="4" t="s">
        <v>67</v>
      </c>
      <c r="C44" s="4" t="s">
        <v>0</v>
      </c>
      <c r="D44" s="4" t="s">
        <v>68</v>
      </c>
      <c r="E44" s="4" t="s">
        <v>69</v>
      </c>
      <c r="F44" s="4" t="s">
        <v>60</v>
      </c>
      <c r="G44" s="4" t="s">
        <v>7</v>
      </c>
      <c r="H44" s="4" t="s">
        <v>204</v>
      </c>
      <c r="I44" s="4" t="s">
        <v>72</v>
      </c>
      <c r="J44" s="4" t="s">
        <v>70</v>
      </c>
      <c r="K44" s="4" t="s">
        <v>206</v>
      </c>
      <c r="L44" s="4" t="s">
        <v>62</v>
      </c>
      <c r="M44" s="4" t="s">
        <v>207</v>
      </c>
    </row>
    <row r="45" ht="22.5" customHeight="1">
      <c r="A45" s="12" t="s">
        <v>659</v>
      </c>
      <c r="B45" s="12" t="s">
        <v>660</v>
      </c>
      <c r="C45" s="13" t="s">
        <v>115</v>
      </c>
      <c r="D45" s="14"/>
      <c r="E45" s="15">
        <v>46286.0</v>
      </c>
      <c r="F45" s="13" t="s">
        <v>75</v>
      </c>
      <c r="G45" s="16"/>
      <c r="H45" s="28" t="s">
        <v>982</v>
      </c>
      <c r="I45" s="13" t="s">
        <v>81</v>
      </c>
      <c r="J45" s="27"/>
      <c r="K45" s="12" t="s">
        <v>983</v>
      </c>
      <c r="L45" s="17"/>
      <c r="M45" s="16" t="str">
        <f t="shared" ref="M45:M56" si="9">"A05 - Anti-Roll"</f>
        <v>A05 - Anti-Roll</v>
      </c>
    </row>
    <row r="46" ht="22.5" customHeight="1">
      <c r="A46" s="12" t="s">
        <v>661</v>
      </c>
      <c r="B46" s="12" t="s">
        <v>662</v>
      </c>
      <c r="C46" s="13" t="s">
        <v>115</v>
      </c>
      <c r="D46" s="14"/>
      <c r="E46" s="15">
        <v>46293.0</v>
      </c>
      <c r="F46" s="13" t="s">
        <v>75</v>
      </c>
      <c r="G46" s="16"/>
      <c r="H46" s="28" t="s">
        <v>982</v>
      </c>
      <c r="I46" s="13" t="s">
        <v>86</v>
      </c>
      <c r="J46" s="27"/>
      <c r="K46" s="12" t="s">
        <v>984</v>
      </c>
      <c r="L46" s="17"/>
      <c r="M46" s="16" t="str">
        <f t="shared" si="9"/>
        <v>A05 - Anti-Roll</v>
      </c>
    </row>
    <row r="47" ht="22.5" customHeight="1">
      <c r="A47" s="12" t="s">
        <v>663</v>
      </c>
      <c r="B47" s="12" t="s">
        <v>664</v>
      </c>
      <c r="C47" s="13" t="s">
        <v>115</v>
      </c>
      <c r="D47" s="15">
        <v>46293.0</v>
      </c>
      <c r="E47" s="15">
        <v>46319.0</v>
      </c>
      <c r="F47" s="13" t="s">
        <v>75</v>
      </c>
      <c r="G47" s="16"/>
      <c r="H47" s="28" t="s">
        <v>982</v>
      </c>
      <c r="I47" s="13" t="s">
        <v>86</v>
      </c>
      <c r="J47" s="27"/>
      <c r="K47" s="17"/>
      <c r="L47" s="17"/>
      <c r="M47" s="16" t="str">
        <f t="shared" si="9"/>
        <v>A05 - Anti-Roll</v>
      </c>
    </row>
    <row r="48" ht="22.5" customHeight="1">
      <c r="A48" s="12" t="s">
        <v>665</v>
      </c>
      <c r="B48" s="12" t="s">
        <v>666</v>
      </c>
      <c r="C48" s="13" t="s">
        <v>115</v>
      </c>
      <c r="D48" s="15">
        <v>46305.0</v>
      </c>
      <c r="E48" s="15">
        <v>46319.0</v>
      </c>
      <c r="F48" s="13" t="s">
        <v>75</v>
      </c>
      <c r="G48" s="16"/>
      <c r="H48" s="28" t="s">
        <v>982</v>
      </c>
      <c r="I48" s="13" t="s">
        <v>86</v>
      </c>
      <c r="J48" s="27"/>
      <c r="K48" s="17"/>
      <c r="L48" s="17"/>
      <c r="M48" s="16" t="str">
        <f t="shared" si="9"/>
        <v>A05 - Anti-Roll</v>
      </c>
    </row>
    <row r="49" ht="22.5" customHeight="1">
      <c r="A49" s="12" t="s">
        <v>667</v>
      </c>
      <c r="B49" s="12" t="s">
        <v>668</v>
      </c>
      <c r="C49" s="13" t="s">
        <v>115</v>
      </c>
      <c r="D49" s="15">
        <v>46319.0</v>
      </c>
      <c r="E49" s="15">
        <v>46331.0</v>
      </c>
      <c r="F49" s="13" t="s">
        <v>75</v>
      </c>
      <c r="G49" s="16"/>
      <c r="H49" s="28" t="s">
        <v>982</v>
      </c>
      <c r="I49" s="13" t="s">
        <v>86</v>
      </c>
      <c r="J49" s="27"/>
      <c r="K49" s="17"/>
      <c r="L49" s="12" t="s">
        <v>985</v>
      </c>
      <c r="M49" s="16" t="str">
        <f t="shared" si="9"/>
        <v>A05 - Anti-Roll</v>
      </c>
    </row>
    <row r="50" ht="22.5" customHeight="1">
      <c r="A50" s="12" t="s">
        <v>669</v>
      </c>
      <c r="B50" s="12" t="s">
        <v>670</v>
      </c>
      <c r="C50" s="13" t="s">
        <v>115</v>
      </c>
      <c r="D50" s="15">
        <v>46331.0</v>
      </c>
      <c r="E50" s="15">
        <v>46334.0</v>
      </c>
      <c r="F50" s="13" t="s">
        <v>75</v>
      </c>
      <c r="G50" s="16"/>
      <c r="H50" s="28" t="s">
        <v>982</v>
      </c>
      <c r="I50" s="13" t="s">
        <v>86</v>
      </c>
      <c r="J50" s="27"/>
      <c r="K50" s="17"/>
      <c r="L50" s="17"/>
      <c r="M50" s="16" t="str">
        <f t="shared" si="9"/>
        <v>A05 - Anti-Roll</v>
      </c>
    </row>
    <row r="51" ht="22.5" customHeight="1">
      <c r="A51" s="12" t="s">
        <v>671</v>
      </c>
      <c r="B51" s="12" t="s">
        <v>672</v>
      </c>
      <c r="C51" s="13" t="s">
        <v>115</v>
      </c>
      <c r="D51" s="15">
        <v>46334.0</v>
      </c>
      <c r="E51" s="15">
        <v>46369.0</v>
      </c>
      <c r="F51" s="13" t="s">
        <v>75</v>
      </c>
      <c r="G51" s="16"/>
      <c r="H51" s="28" t="s">
        <v>982</v>
      </c>
      <c r="I51" s="13" t="s">
        <v>86</v>
      </c>
      <c r="J51" s="27"/>
      <c r="K51" s="17"/>
      <c r="L51" s="17"/>
      <c r="M51" s="16" t="str">
        <f t="shared" si="9"/>
        <v>A05 - Anti-Roll</v>
      </c>
    </row>
    <row r="52" ht="22.5" customHeight="1">
      <c r="A52" s="12" t="s">
        <v>673</v>
      </c>
      <c r="B52" s="12" t="s">
        <v>675</v>
      </c>
      <c r="C52" s="13" t="s">
        <v>115</v>
      </c>
      <c r="D52" s="15">
        <v>46388.0</v>
      </c>
      <c r="E52" s="15">
        <v>46402.0</v>
      </c>
      <c r="F52" s="13" t="s">
        <v>75</v>
      </c>
      <c r="G52" s="16"/>
      <c r="H52" s="28" t="s">
        <v>982</v>
      </c>
      <c r="I52" s="13" t="s">
        <v>86</v>
      </c>
      <c r="J52" s="27"/>
      <c r="K52" s="17"/>
      <c r="L52" s="17"/>
      <c r="M52" s="16" t="str">
        <f t="shared" si="9"/>
        <v>A05 - Anti-Roll</v>
      </c>
    </row>
    <row r="53" ht="22.5" customHeight="1">
      <c r="A53" s="12" t="s">
        <v>676</v>
      </c>
      <c r="B53" s="12" t="s">
        <v>677</v>
      </c>
      <c r="C53" s="13" t="s">
        <v>115</v>
      </c>
      <c r="D53" s="15">
        <v>46402.0</v>
      </c>
      <c r="E53" s="15">
        <v>46405.0</v>
      </c>
      <c r="F53" s="13" t="s">
        <v>75</v>
      </c>
      <c r="G53" s="16"/>
      <c r="H53" s="28" t="s">
        <v>982</v>
      </c>
      <c r="I53" s="13" t="s">
        <v>86</v>
      </c>
      <c r="J53" s="27"/>
      <c r="K53" s="17"/>
      <c r="L53" s="17"/>
      <c r="M53" s="16" t="str">
        <f t="shared" si="9"/>
        <v>A05 - Anti-Roll</v>
      </c>
    </row>
    <row r="54" ht="22.5" customHeight="1">
      <c r="A54" s="12" t="s">
        <v>678</v>
      </c>
      <c r="B54" s="12" t="s">
        <v>679</v>
      </c>
      <c r="C54" s="13" t="s">
        <v>115</v>
      </c>
      <c r="D54" s="15">
        <v>46405.0</v>
      </c>
      <c r="E54" s="15">
        <v>46411.0</v>
      </c>
      <c r="F54" s="13" t="s">
        <v>75</v>
      </c>
      <c r="G54" s="16"/>
      <c r="H54" s="28" t="s">
        <v>982</v>
      </c>
      <c r="I54" s="13" t="s">
        <v>86</v>
      </c>
      <c r="J54" s="27"/>
      <c r="K54" s="17"/>
      <c r="L54" s="17"/>
      <c r="M54" s="16" t="str">
        <f t="shared" si="9"/>
        <v>A05 - Anti-Roll</v>
      </c>
    </row>
    <row r="55" ht="22.5" customHeight="1">
      <c r="A55" s="12"/>
      <c r="B55" s="12"/>
      <c r="C55" s="30" t="str">
        <f t="shared" ref="C55:C56" si="10">"Suspension"</f>
        <v>Suspension</v>
      </c>
      <c r="D55" s="14"/>
      <c r="E55" s="14"/>
      <c r="F55" s="30"/>
      <c r="G55" s="16"/>
      <c r="H55" s="17"/>
      <c r="I55" s="30"/>
      <c r="J55" s="27"/>
      <c r="K55" s="17"/>
      <c r="L55" s="17"/>
      <c r="M55" s="16" t="str">
        <f t="shared" si="9"/>
        <v>A05 - Anti-Roll</v>
      </c>
    </row>
    <row r="56" ht="22.5" customHeight="1">
      <c r="A56" s="12"/>
      <c r="B56" s="12"/>
      <c r="C56" s="30" t="str">
        <f t="shared" si="10"/>
        <v>Suspension</v>
      </c>
      <c r="D56" s="14"/>
      <c r="E56" s="14"/>
      <c r="F56" s="30"/>
      <c r="G56" s="16"/>
      <c r="H56" s="17"/>
      <c r="I56" s="30"/>
      <c r="J56" s="27"/>
      <c r="K56" s="17"/>
      <c r="L56" s="17"/>
      <c r="M56" s="16" t="str">
        <f t="shared" si="9"/>
        <v>A05 - Anti-Roll</v>
      </c>
    </row>
    <row r="57" ht="1.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</row>
    <row r="58">
      <c r="A58" s="26"/>
    </row>
    <row r="59">
      <c r="A59" s="26"/>
      <c r="B59" s="26"/>
    </row>
    <row r="60" ht="22.5" customHeight="1">
      <c r="A60" s="4" t="s">
        <v>58</v>
      </c>
      <c r="B60" s="4" t="s">
        <v>67</v>
      </c>
      <c r="C60" s="4" t="s">
        <v>0</v>
      </c>
      <c r="D60" s="4" t="s">
        <v>68</v>
      </c>
      <c r="E60" s="4" t="s">
        <v>69</v>
      </c>
      <c r="F60" s="4" t="s">
        <v>60</v>
      </c>
      <c r="G60" s="4" t="s">
        <v>7</v>
      </c>
      <c r="H60" s="4" t="s">
        <v>204</v>
      </c>
      <c r="I60" s="4" t="s">
        <v>72</v>
      </c>
      <c r="J60" s="4" t="s">
        <v>70</v>
      </c>
      <c r="K60" s="4" t="s">
        <v>206</v>
      </c>
      <c r="L60" s="4" t="s">
        <v>62</v>
      </c>
      <c r="M60" s="4" t="s">
        <v>207</v>
      </c>
    </row>
    <row r="61" ht="22.5" customHeight="1">
      <c r="A61" s="12"/>
      <c r="B61" s="12"/>
      <c r="C61" s="30" t="str">
        <f t="shared" ref="C61:C65" si="11">"Suspension"</f>
        <v>Suspension</v>
      </c>
      <c r="D61" s="14"/>
      <c r="E61" s="14"/>
      <c r="F61" s="30"/>
      <c r="G61" s="16"/>
      <c r="H61" s="17"/>
      <c r="I61" s="30"/>
      <c r="J61" s="27"/>
      <c r="K61" s="17"/>
      <c r="L61" s="17"/>
      <c r="M61" s="16" t="str">
        <f t="shared" ref="M61:M65" si="12">"A08 - Jig Plate"</f>
        <v>A08 - Jig Plate</v>
      </c>
    </row>
    <row r="62" ht="22.5" customHeight="1">
      <c r="A62" s="12"/>
      <c r="B62" s="12"/>
      <c r="C62" s="30" t="str">
        <f t="shared" si="11"/>
        <v>Suspension</v>
      </c>
      <c r="D62" s="14"/>
      <c r="E62" s="14"/>
      <c r="F62" s="30"/>
      <c r="G62" s="16"/>
      <c r="H62" s="17"/>
      <c r="I62" s="30"/>
      <c r="J62" s="27"/>
      <c r="K62" s="17"/>
      <c r="L62" s="17"/>
      <c r="M62" s="16" t="str">
        <f t="shared" si="12"/>
        <v>A08 - Jig Plate</v>
      </c>
    </row>
    <row r="63" ht="22.5" customHeight="1">
      <c r="A63" s="12"/>
      <c r="B63" s="12"/>
      <c r="C63" s="30" t="str">
        <f t="shared" si="11"/>
        <v>Suspension</v>
      </c>
      <c r="D63" s="14"/>
      <c r="E63" s="14"/>
      <c r="F63" s="30"/>
      <c r="G63" s="16"/>
      <c r="H63" s="17"/>
      <c r="I63" s="30"/>
      <c r="J63" s="27"/>
      <c r="K63" s="17"/>
      <c r="L63" s="17"/>
      <c r="M63" s="16" t="str">
        <f t="shared" si="12"/>
        <v>A08 - Jig Plate</v>
      </c>
    </row>
    <row r="64" ht="22.5" customHeight="1">
      <c r="A64" s="12"/>
      <c r="B64" s="12"/>
      <c r="C64" s="30" t="str">
        <f t="shared" si="11"/>
        <v>Suspension</v>
      </c>
      <c r="D64" s="14"/>
      <c r="E64" s="14"/>
      <c r="F64" s="30"/>
      <c r="G64" s="16"/>
      <c r="H64" s="17"/>
      <c r="I64" s="30"/>
      <c r="J64" s="27"/>
      <c r="K64" s="17"/>
      <c r="L64" s="17"/>
      <c r="M64" s="16" t="str">
        <f t="shared" si="12"/>
        <v>A08 - Jig Plate</v>
      </c>
    </row>
    <row r="65" ht="22.5" customHeight="1">
      <c r="A65" s="12"/>
      <c r="B65" s="12"/>
      <c r="C65" s="30" t="str">
        <f t="shared" si="11"/>
        <v>Suspension</v>
      </c>
      <c r="D65" s="14"/>
      <c r="E65" s="14"/>
      <c r="F65" s="30"/>
      <c r="G65" s="16"/>
      <c r="H65" s="17"/>
      <c r="I65" s="30"/>
      <c r="J65" s="27"/>
      <c r="K65" s="17"/>
      <c r="L65" s="17"/>
      <c r="M65" s="16" t="str">
        <f t="shared" si="12"/>
        <v>A08 - Jig Plate</v>
      </c>
    </row>
    <row r="66" ht="1.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</row>
    <row r="67">
      <c r="A67" s="26"/>
    </row>
    <row r="68">
      <c r="A68" s="26"/>
      <c r="B68" s="26"/>
    </row>
    <row r="69" ht="22.5" customHeight="1">
      <c r="A69" s="4" t="s">
        <v>58</v>
      </c>
      <c r="B69" s="4" t="s">
        <v>67</v>
      </c>
      <c r="C69" s="4" t="s">
        <v>0</v>
      </c>
      <c r="D69" s="4" t="s">
        <v>68</v>
      </c>
      <c r="E69" s="4" t="s">
        <v>69</v>
      </c>
      <c r="F69" s="4" t="s">
        <v>60</v>
      </c>
      <c r="G69" s="4" t="s">
        <v>7</v>
      </c>
      <c r="H69" s="4" t="s">
        <v>204</v>
      </c>
      <c r="I69" s="4" t="s">
        <v>72</v>
      </c>
      <c r="J69" s="4" t="s">
        <v>70</v>
      </c>
      <c r="K69" s="4" t="s">
        <v>206</v>
      </c>
      <c r="L69" s="4" t="s">
        <v>62</v>
      </c>
      <c r="M69" s="4" t="s">
        <v>207</v>
      </c>
    </row>
    <row r="70" ht="22.5" customHeight="1">
      <c r="A70" s="12"/>
      <c r="B70" s="12"/>
      <c r="C70" s="30" t="str">
        <f t="shared" ref="C70:C74" si="13">"Suspension"</f>
        <v>Suspension</v>
      </c>
      <c r="D70" s="14"/>
      <c r="E70" s="14"/>
      <c r="F70" s="30"/>
      <c r="G70" s="16"/>
      <c r="H70" s="17"/>
      <c r="I70" s="30"/>
      <c r="J70" s="27"/>
      <c r="K70" s="17"/>
      <c r="L70" s="17"/>
      <c r="M70" s="16" t="str">
        <f t="shared" ref="M70:M74" si="14">"A09 - Other Suspension"</f>
        <v>A09 - Other Suspension</v>
      </c>
    </row>
    <row r="71" ht="22.5" customHeight="1">
      <c r="A71" s="12"/>
      <c r="B71" s="12"/>
      <c r="C71" s="30" t="str">
        <f t="shared" si="13"/>
        <v>Suspension</v>
      </c>
      <c r="D71" s="14"/>
      <c r="E71" s="14"/>
      <c r="F71" s="30"/>
      <c r="G71" s="16"/>
      <c r="H71" s="17"/>
      <c r="I71" s="30"/>
      <c r="J71" s="27"/>
      <c r="K71" s="17"/>
      <c r="L71" s="17"/>
      <c r="M71" s="16" t="str">
        <f t="shared" si="14"/>
        <v>A09 - Other Suspension</v>
      </c>
    </row>
    <row r="72" ht="22.5" customHeight="1">
      <c r="A72" s="12"/>
      <c r="B72" s="12"/>
      <c r="C72" s="30" t="str">
        <f t="shared" si="13"/>
        <v>Suspension</v>
      </c>
      <c r="D72" s="14"/>
      <c r="E72" s="14"/>
      <c r="F72" s="30"/>
      <c r="G72" s="16"/>
      <c r="H72" s="17"/>
      <c r="I72" s="30"/>
      <c r="J72" s="27"/>
      <c r="K72" s="17"/>
      <c r="L72" s="17"/>
      <c r="M72" s="16" t="str">
        <f t="shared" si="14"/>
        <v>A09 - Other Suspension</v>
      </c>
    </row>
    <row r="73" ht="22.5" customHeight="1">
      <c r="A73" s="12"/>
      <c r="B73" s="12"/>
      <c r="C73" s="30" t="str">
        <f t="shared" si="13"/>
        <v>Suspension</v>
      </c>
      <c r="D73" s="14"/>
      <c r="E73" s="14"/>
      <c r="F73" s="30"/>
      <c r="G73" s="16"/>
      <c r="H73" s="17"/>
      <c r="I73" s="30"/>
      <c r="J73" s="27"/>
      <c r="K73" s="17"/>
      <c r="L73" s="17"/>
      <c r="M73" s="16" t="str">
        <f t="shared" si="14"/>
        <v>A09 - Other Suspension</v>
      </c>
    </row>
    <row r="74" ht="22.5" customHeight="1">
      <c r="A74" s="12"/>
      <c r="B74" s="12"/>
      <c r="C74" s="30" t="str">
        <f t="shared" si="13"/>
        <v>Suspension</v>
      </c>
      <c r="D74" s="14"/>
      <c r="E74" s="14"/>
      <c r="F74" s="30"/>
      <c r="G74" s="16"/>
      <c r="H74" s="17"/>
      <c r="I74" s="30"/>
      <c r="J74" s="27"/>
      <c r="K74" s="17"/>
      <c r="L74" s="17"/>
      <c r="M74" s="16" t="str">
        <f t="shared" si="14"/>
        <v>A09 - Other Suspension</v>
      </c>
    </row>
    <row r="75" ht="1.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</row>
    <row r="76">
      <c r="A76" s="26"/>
    </row>
  </sheetData>
  <mergeCells count="14">
    <mergeCell ref="A42:M42"/>
    <mergeCell ref="B43:M43"/>
    <mergeCell ref="A58:M58"/>
    <mergeCell ref="B59:M59"/>
    <mergeCell ref="A67:M67"/>
    <mergeCell ref="B68:M68"/>
    <mergeCell ref="A76:M76"/>
    <mergeCell ref="B1:M1"/>
    <mergeCell ref="A10:M10"/>
    <mergeCell ref="B11:M11"/>
    <mergeCell ref="A24:M24"/>
    <mergeCell ref="B25:M25"/>
    <mergeCell ref="A33:M33"/>
    <mergeCell ref="B34:M34"/>
  </mergeCells>
  <dataValidations>
    <dataValidation type="list" allowBlank="1" sqref="J3:J8 J13:J22 J27:J31 J36:J40 J45:J56 J61:J65 J70:J74">
      <formula1>#REF!</formula1>
    </dataValidation>
    <dataValidation type="list" allowBlank="1" sqref="F3:F8 F13:F22 F27:F31 F36:F40 F45:F56 F61:F65 F70:F74">
      <formula1>#REF!</formula1>
    </dataValidation>
    <dataValidation type="custom" allowBlank="1" showDropDown="1" sqref="D3:E8 D13:E22 D27:E31 D36:E40 D45:E56 D61:E65 D70:E74">
      <formula1>OR(NOT(ISERROR(DATEVALUE(D3))), AND(ISNUMBER(D3), LEFT(CELL("format", D3))="D"))</formula1>
    </dataValidation>
    <dataValidation type="list" allowBlank="1" sqref="I3:I8 I13:I22 I27:I31 I36:I40 I45:I56 I61:I65 I70:I74">
      <formula1>#REF!</formula1>
    </dataValidation>
    <dataValidation allowBlank="1" showDropDown="1" sqref="B3:B8 K3:L8 B13:B22 K13:L22 B27:B31 K27:L31 B36:B40 K36:L40 B45:B56 K45:L56 B61:B65 K61:L65 B70:B74 K70:L74"/>
    <dataValidation allowBlank="1" showDropDown="1" sqref="A3:A8 A13:A22 A27:A31 A36:A40 A45:A56 A61:A65 A70:A74"/>
    <dataValidation type="list" allowBlank="1" sqref="G3:G8 M3:M8 G13:G22 M13:M22 G27:G31 M27:M31 G36:G40 M36:M40 G45:G56 M45:M56 G61:G65 M61:M65 G70:G74 M70:M74">
      <formula1>#REF!</formula1>
    </dataValidation>
    <dataValidation type="list" allowBlank="1" sqref="C3:C8 C13:C22 C27:C31 C36:C40 C45:C56 C61:C65 C70:C74">
      <formula1>#REF!</formula1>
    </dataValidation>
  </dataValidations>
  <hyperlinks>
    <hyperlink r:id="rId1" ref="H3"/>
    <hyperlink r:id="rId2" ref="H4"/>
    <hyperlink r:id="rId3" ref="H5"/>
    <hyperlink r:id="rId4" ref="H13"/>
    <hyperlink r:id="rId5" ref="H14"/>
    <hyperlink r:id="rId6" ref="H15"/>
    <hyperlink r:id="rId7" ref="H16"/>
    <hyperlink r:id="rId8" ref="H17"/>
    <hyperlink r:id="rId9" ref="H18"/>
    <hyperlink r:id="rId10" ref="H19"/>
    <hyperlink r:id="rId11" ref="H20"/>
    <hyperlink r:id="rId12" ref="H36"/>
    <hyperlink r:id="rId13" ref="H45"/>
    <hyperlink r:id="rId14" ref="H46"/>
    <hyperlink r:id="rId15" ref="H47"/>
    <hyperlink r:id="rId16" ref="H48"/>
    <hyperlink r:id="rId17" ref="H49"/>
    <hyperlink r:id="rId18" ref="H50"/>
    <hyperlink r:id="rId19" ref="H51"/>
    <hyperlink r:id="rId20" ref="H52"/>
    <hyperlink r:id="rId21" ref="H53"/>
    <hyperlink r:id="rId22" ref="H54"/>
  </hyperlinks>
  <drawing r:id="rId23"/>
  <tableParts count="7"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767B3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7.0"/>
    <col customWidth="1" hidden="1" min="3" max="3" width="16.38"/>
    <col customWidth="1" min="4" max="5" width="13.88"/>
    <col customWidth="1" min="6" max="6" width="14.38"/>
    <col customWidth="1" min="7" max="7" width="17.0"/>
    <col customWidth="1" min="8" max="8" width="17.63"/>
    <col customWidth="1" min="9" max="9" width="14.0"/>
    <col customWidth="1" min="10" max="10" width="19.5"/>
    <col customWidth="1" min="11" max="12" width="25.13"/>
    <col customWidth="1" hidden="1" min="13" max="13" width="25.13"/>
  </cols>
  <sheetData>
    <row r="1">
      <c r="A1" s="26"/>
      <c r="B1" s="26"/>
    </row>
    <row r="2" ht="22.5" customHeight="1">
      <c r="A2" s="4" t="s">
        <v>58</v>
      </c>
      <c r="B2" s="4" t="s">
        <v>67</v>
      </c>
      <c r="C2" s="4" t="s">
        <v>0</v>
      </c>
      <c r="D2" s="4" t="s">
        <v>68</v>
      </c>
      <c r="E2" s="4" t="s">
        <v>69</v>
      </c>
      <c r="F2" s="4" t="s">
        <v>60</v>
      </c>
      <c r="G2" s="4" t="s">
        <v>7</v>
      </c>
      <c r="H2" s="4" t="s">
        <v>204</v>
      </c>
      <c r="I2" s="4" t="s">
        <v>72</v>
      </c>
      <c r="J2" s="4" t="s">
        <v>70</v>
      </c>
      <c r="K2" s="4" t="s">
        <v>206</v>
      </c>
      <c r="L2" s="4" t="s">
        <v>62</v>
      </c>
      <c r="M2" s="4" t="s">
        <v>207</v>
      </c>
    </row>
    <row r="3" ht="22.5" customHeight="1">
      <c r="A3" s="12"/>
      <c r="B3" s="12"/>
      <c r="C3" s="30" t="str">
        <f t="shared" ref="C3:C7" si="1">"Unsprung"</f>
        <v>Unsprung</v>
      </c>
      <c r="D3" s="14"/>
      <c r="E3" s="14"/>
      <c r="F3" s="30"/>
      <c r="G3" s="16"/>
      <c r="H3" s="17"/>
      <c r="I3" s="30"/>
      <c r="J3" s="27"/>
      <c r="K3" s="17"/>
      <c r="L3" s="17"/>
      <c r="M3" s="16" t="str">
        <f t="shared" ref="M3:M7" si="2">"A01 - Unsprung"</f>
        <v>A01 - Unsprung</v>
      </c>
    </row>
    <row r="4" ht="22.5" customHeight="1">
      <c r="A4" s="12"/>
      <c r="B4" s="12"/>
      <c r="C4" s="30" t="str">
        <f t="shared" si="1"/>
        <v>Unsprung</v>
      </c>
      <c r="D4" s="14"/>
      <c r="E4" s="14"/>
      <c r="F4" s="30"/>
      <c r="G4" s="16"/>
      <c r="H4" s="17"/>
      <c r="I4" s="30"/>
      <c r="J4" s="27"/>
      <c r="K4" s="17"/>
      <c r="L4" s="17"/>
      <c r="M4" s="16" t="str">
        <f t="shared" si="2"/>
        <v>A01 - Unsprung</v>
      </c>
    </row>
    <row r="5" ht="22.5" customHeight="1">
      <c r="A5" s="12"/>
      <c r="B5" s="12"/>
      <c r="C5" s="30" t="str">
        <f t="shared" si="1"/>
        <v>Unsprung</v>
      </c>
      <c r="D5" s="14"/>
      <c r="E5" s="14"/>
      <c r="F5" s="30"/>
      <c r="G5" s="16"/>
      <c r="H5" s="17"/>
      <c r="I5" s="30"/>
      <c r="J5" s="27"/>
      <c r="K5" s="17"/>
      <c r="L5" s="17"/>
      <c r="M5" s="16" t="str">
        <f t="shared" si="2"/>
        <v>A01 - Unsprung</v>
      </c>
    </row>
    <row r="6" ht="22.5" customHeight="1">
      <c r="A6" s="12"/>
      <c r="B6" s="12"/>
      <c r="C6" s="30" t="str">
        <f t="shared" si="1"/>
        <v>Unsprung</v>
      </c>
      <c r="D6" s="14"/>
      <c r="E6" s="14"/>
      <c r="F6" s="30"/>
      <c r="G6" s="16"/>
      <c r="H6" s="17"/>
      <c r="I6" s="30"/>
      <c r="J6" s="27"/>
      <c r="K6" s="17"/>
      <c r="L6" s="17"/>
      <c r="M6" s="16" t="str">
        <f t="shared" si="2"/>
        <v>A01 - Unsprung</v>
      </c>
    </row>
    <row r="7" ht="22.5" customHeight="1">
      <c r="A7" s="12"/>
      <c r="B7" s="12"/>
      <c r="C7" s="30" t="str">
        <f t="shared" si="1"/>
        <v>Unsprung</v>
      </c>
      <c r="D7" s="14"/>
      <c r="E7" s="14"/>
      <c r="F7" s="30"/>
      <c r="G7" s="16"/>
      <c r="H7" s="17"/>
      <c r="I7" s="30"/>
      <c r="J7" s="27"/>
      <c r="K7" s="17"/>
      <c r="L7" s="17"/>
      <c r="M7" s="16" t="str">
        <f t="shared" si="2"/>
        <v>A01 - Unsprung</v>
      </c>
    </row>
    <row r="8" ht="1.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>
      <c r="A9" s="26"/>
    </row>
    <row r="10">
      <c r="A10" s="26"/>
      <c r="B10" s="26"/>
    </row>
    <row r="11" ht="22.5" customHeight="1">
      <c r="A11" s="4" t="s">
        <v>58</v>
      </c>
      <c r="B11" s="4" t="s">
        <v>67</v>
      </c>
      <c r="C11" s="4" t="s">
        <v>0</v>
      </c>
      <c r="D11" s="4" t="s">
        <v>68</v>
      </c>
      <c r="E11" s="4" t="s">
        <v>69</v>
      </c>
      <c r="F11" s="4" t="s">
        <v>60</v>
      </c>
      <c r="G11" s="4" t="s">
        <v>7</v>
      </c>
      <c r="H11" s="4" t="s">
        <v>204</v>
      </c>
      <c r="I11" s="4" t="s">
        <v>72</v>
      </c>
      <c r="J11" s="4" t="s">
        <v>70</v>
      </c>
      <c r="K11" s="4" t="s">
        <v>206</v>
      </c>
      <c r="L11" s="4" t="s">
        <v>62</v>
      </c>
      <c r="M11" s="4" t="s">
        <v>207</v>
      </c>
    </row>
    <row r="12" ht="22.5" customHeight="1">
      <c r="A12" s="12"/>
      <c r="B12" s="12"/>
      <c r="C12" s="30" t="str">
        <f t="shared" ref="C12:C16" si="3">"Unsprung"</f>
        <v>Unsprung</v>
      </c>
      <c r="D12" s="14"/>
      <c r="E12" s="14"/>
      <c r="F12" s="30"/>
      <c r="G12" s="16"/>
      <c r="H12" s="17"/>
      <c r="I12" s="30"/>
      <c r="J12" s="27"/>
      <c r="K12" s="17"/>
      <c r="L12" s="17"/>
      <c r="M12" s="16" t="str">
        <f t="shared" ref="M12:M16" si="4">"A02 - Hubs and Uprights"</f>
        <v>A02 - Hubs and Uprights</v>
      </c>
    </row>
    <row r="13" ht="22.5" customHeight="1">
      <c r="A13" s="12"/>
      <c r="B13" s="12"/>
      <c r="C13" s="30" t="str">
        <f t="shared" si="3"/>
        <v>Unsprung</v>
      </c>
      <c r="D13" s="14"/>
      <c r="E13" s="14"/>
      <c r="F13" s="30"/>
      <c r="G13" s="16"/>
      <c r="H13" s="17"/>
      <c r="I13" s="30"/>
      <c r="J13" s="27"/>
      <c r="K13" s="17"/>
      <c r="L13" s="17"/>
      <c r="M13" s="16" t="str">
        <f t="shared" si="4"/>
        <v>A02 - Hubs and Uprights</v>
      </c>
    </row>
    <row r="14" ht="22.5" customHeight="1">
      <c r="A14" s="12"/>
      <c r="B14" s="12"/>
      <c r="C14" s="30" t="str">
        <f t="shared" si="3"/>
        <v>Unsprung</v>
      </c>
      <c r="D14" s="14"/>
      <c r="E14" s="14"/>
      <c r="F14" s="30"/>
      <c r="G14" s="16"/>
      <c r="H14" s="17"/>
      <c r="I14" s="30"/>
      <c r="J14" s="27"/>
      <c r="K14" s="17"/>
      <c r="L14" s="17"/>
      <c r="M14" s="16" t="str">
        <f t="shared" si="4"/>
        <v>A02 - Hubs and Uprights</v>
      </c>
    </row>
    <row r="15" ht="22.5" customHeight="1">
      <c r="A15" s="12"/>
      <c r="B15" s="12"/>
      <c r="C15" s="30" t="str">
        <f t="shared" si="3"/>
        <v>Unsprung</v>
      </c>
      <c r="D15" s="14"/>
      <c r="E15" s="14"/>
      <c r="F15" s="30"/>
      <c r="G15" s="16"/>
      <c r="H15" s="17"/>
      <c r="I15" s="30"/>
      <c r="J15" s="27"/>
      <c r="K15" s="17"/>
      <c r="L15" s="17"/>
      <c r="M15" s="16" t="str">
        <f t="shared" si="4"/>
        <v>A02 - Hubs and Uprights</v>
      </c>
    </row>
    <row r="16" ht="22.5" customHeight="1">
      <c r="A16" s="12"/>
      <c r="B16" s="12"/>
      <c r="C16" s="30" t="str">
        <f t="shared" si="3"/>
        <v>Unsprung</v>
      </c>
      <c r="D16" s="14"/>
      <c r="E16" s="14"/>
      <c r="F16" s="30"/>
      <c r="G16" s="16"/>
      <c r="H16" s="17"/>
      <c r="I16" s="30"/>
      <c r="J16" s="27"/>
      <c r="K16" s="17"/>
      <c r="L16" s="17"/>
      <c r="M16" s="16" t="str">
        <f t="shared" si="4"/>
        <v>A02 - Hubs and Uprights</v>
      </c>
    </row>
    <row r="17" ht="1.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</row>
    <row r="18">
      <c r="A18" s="26"/>
    </row>
    <row r="19">
      <c r="A19" s="26"/>
      <c r="B19" s="26"/>
    </row>
    <row r="20" ht="22.5" customHeight="1">
      <c r="A20" s="4" t="s">
        <v>58</v>
      </c>
      <c r="B20" s="4" t="s">
        <v>67</v>
      </c>
      <c r="C20" s="4" t="s">
        <v>0</v>
      </c>
      <c r="D20" s="4" t="s">
        <v>68</v>
      </c>
      <c r="E20" s="4" t="s">
        <v>69</v>
      </c>
      <c r="F20" s="4" t="s">
        <v>60</v>
      </c>
      <c r="G20" s="4" t="s">
        <v>7</v>
      </c>
      <c r="H20" s="4" t="s">
        <v>204</v>
      </c>
      <c r="I20" s="4" t="s">
        <v>72</v>
      </c>
      <c r="J20" s="4" t="s">
        <v>70</v>
      </c>
      <c r="K20" s="4" t="s">
        <v>206</v>
      </c>
      <c r="L20" s="4" t="s">
        <v>62</v>
      </c>
      <c r="M20" s="4" t="s">
        <v>207</v>
      </c>
    </row>
    <row r="21" ht="22.5" customHeight="1">
      <c r="A21" s="12"/>
      <c r="B21" s="12"/>
      <c r="C21" s="30" t="str">
        <f t="shared" ref="C21:C25" si="5">"Unsprung"</f>
        <v>Unsprung</v>
      </c>
      <c r="D21" s="14"/>
      <c r="E21" s="14"/>
      <c r="F21" s="30"/>
      <c r="G21" s="16"/>
      <c r="H21" s="17"/>
      <c r="I21" s="30"/>
      <c r="J21" s="27"/>
      <c r="K21" s="17"/>
      <c r="L21" s="17"/>
      <c r="M21" s="16" t="str">
        <f t="shared" ref="M21:M25" si="6">"A03 - Brakes"</f>
        <v>A03 - Brakes</v>
      </c>
    </row>
    <row r="22" ht="22.5" customHeight="1">
      <c r="A22" s="12"/>
      <c r="B22" s="12"/>
      <c r="C22" s="30" t="str">
        <f t="shared" si="5"/>
        <v>Unsprung</v>
      </c>
      <c r="D22" s="14"/>
      <c r="E22" s="14"/>
      <c r="F22" s="30"/>
      <c r="G22" s="16"/>
      <c r="H22" s="17"/>
      <c r="I22" s="30"/>
      <c r="J22" s="27"/>
      <c r="K22" s="17"/>
      <c r="L22" s="17"/>
      <c r="M22" s="16" t="str">
        <f t="shared" si="6"/>
        <v>A03 - Brakes</v>
      </c>
    </row>
    <row r="23" ht="22.5" customHeight="1">
      <c r="A23" s="12"/>
      <c r="B23" s="12"/>
      <c r="C23" s="30" t="str">
        <f t="shared" si="5"/>
        <v>Unsprung</v>
      </c>
      <c r="D23" s="14"/>
      <c r="E23" s="14"/>
      <c r="F23" s="30"/>
      <c r="G23" s="16"/>
      <c r="H23" s="17"/>
      <c r="I23" s="30"/>
      <c r="J23" s="27"/>
      <c r="K23" s="17"/>
      <c r="L23" s="17"/>
      <c r="M23" s="16" t="str">
        <f t="shared" si="6"/>
        <v>A03 - Brakes</v>
      </c>
    </row>
    <row r="24" ht="22.5" customHeight="1">
      <c r="A24" s="12"/>
      <c r="B24" s="12"/>
      <c r="C24" s="30" t="str">
        <f t="shared" si="5"/>
        <v>Unsprung</v>
      </c>
      <c r="D24" s="14"/>
      <c r="E24" s="14"/>
      <c r="F24" s="30"/>
      <c r="G24" s="16"/>
      <c r="H24" s="17"/>
      <c r="I24" s="30"/>
      <c r="J24" s="27"/>
      <c r="K24" s="17"/>
      <c r="L24" s="17"/>
      <c r="M24" s="16" t="str">
        <f t="shared" si="6"/>
        <v>A03 - Brakes</v>
      </c>
    </row>
    <row r="25" ht="22.5" customHeight="1">
      <c r="A25" s="12"/>
      <c r="B25" s="12"/>
      <c r="C25" s="30" t="str">
        <f t="shared" si="5"/>
        <v>Unsprung</v>
      </c>
      <c r="D25" s="14"/>
      <c r="E25" s="14"/>
      <c r="F25" s="30"/>
      <c r="G25" s="16"/>
      <c r="H25" s="17"/>
      <c r="I25" s="30"/>
      <c r="J25" s="27"/>
      <c r="K25" s="17"/>
      <c r="L25" s="17"/>
      <c r="M25" s="16" t="str">
        <f t="shared" si="6"/>
        <v>A03 - Brakes</v>
      </c>
    </row>
    <row r="26" ht="1.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>
      <c r="A27" s="26"/>
    </row>
    <row r="28">
      <c r="A28" s="26"/>
      <c r="B28" s="26"/>
    </row>
    <row r="29" ht="22.5" customHeight="1">
      <c r="A29" s="4" t="s">
        <v>58</v>
      </c>
      <c r="B29" s="4" t="s">
        <v>67</v>
      </c>
      <c r="C29" s="4" t="s">
        <v>0</v>
      </c>
      <c r="D29" s="4" t="s">
        <v>68</v>
      </c>
      <c r="E29" s="4" t="s">
        <v>69</v>
      </c>
      <c r="F29" s="4" t="s">
        <v>60</v>
      </c>
      <c r="G29" s="4" t="s">
        <v>7</v>
      </c>
      <c r="H29" s="4" t="s">
        <v>204</v>
      </c>
      <c r="I29" s="4" t="s">
        <v>72</v>
      </c>
      <c r="J29" s="4" t="s">
        <v>70</v>
      </c>
      <c r="K29" s="4" t="s">
        <v>206</v>
      </c>
      <c r="L29" s="4" t="s">
        <v>62</v>
      </c>
      <c r="M29" s="4" t="s">
        <v>207</v>
      </c>
    </row>
    <row r="30" ht="22.5" customHeight="1">
      <c r="A30" s="12"/>
      <c r="B30" s="12"/>
      <c r="C30" s="30" t="str">
        <f t="shared" ref="C30:C34" si="7">"Unsprung"</f>
        <v>Unsprung</v>
      </c>
      <c r="D30" s="14"/>
      <c r="E30" s="14"/>
      <c r="F30" s="30"/>
      <c r="G30" s="16"/>
      <c r="H30" s="17"/>
      <c r="I30" s="30"/>
      <c r="J30" s="27"/>
      <c r="K30" s="17"/>
      <c r="L30" s="17"/>
      <c r="M30" s="16" t="str">
        <f t="shared" ref="M30:M34" si="8">"A04 - Gearbox"</f>
        <v>A04 - Gearbox</v>
      </c>
    </row>
    <row r="31" ht="22.5" customHeight="1">
      <c r="A31" s="12"/>
      <c r="B31" s="12"/>
      <c r="C31" s="30" t="str">
        <f t="shared" si="7"/>
        <v>Unsprung</v>
      </c>
      <c r="D31" s="14"/>
      <c r="E31" s="14"/>
      <c r="F31" s="30"/>
      <c r="G31" s="16"/>
      <c r="H31" s="17"/>
      <c r="I31" s="30"/>
      <c r="J31" s="27"/>
      <c r="K31" s="17"/>
      <c r="L31" s="17"/>
      <c r="M31" s="16" t="str">
        <f t="shared" si="8"/>
        <v>A04 - Gearbox</v>
      </c>
    </row>
    <row r="32" ht="22.5" customHeight="1">
      <c r="A32" s="12"/>
      <c r="B32" s="12"/>
      <c r="C32" s="30" t="str">
        <f t="shared" si="7"/>
        <v>Unsprung</v>
      </c>
      <c r="D32" s="14"/>
      <c r="E32" s="14"/>
      <c r="F32" s="30"/>
      <c r="G32" s="16"/>
      <c r="H32" s="17"/>
      <c r="I32" s="30"/>
      <c r="J32" s="27"/>
      <c r="K32" s="17"/>
      <c r="L32" s="17"/>
      <c r="M32" s="16" t="str">
        <f t="shared" si="8"/>
        <v>A04 - Gearbox</v>
      </c>
    </row>
    <row r="33" ht="22.5" customHeight="1">
      <c r="A33" s="12"/>
      <c r="B33" s="12"/>
      <c r="C33" s="30" t="str">
        <f t="shared" si="7"/>
        <v>Unsprung</v>
      </c>
      <c r="D33" s="14"/>
      <c r="E33" s="14"/>
      <c r="F33" s="30"/>
      <c r="G33" s="16"/>
      <c r="H33" s="17"/>
      <c r="I33" s="30"/>
      <c r="J33" s="27"/>
      <c r="K33" s="17"/>
      <c r="L33" s="17"/>
      <c r="M33" s="16" t="str">
        <f t="shared" si="8"/>
        <v>A04 - Gearbox</v>
      </c>
    </row>
    <row r="34" ht="22.5" customHeight="1">
      <c r="A34" s="12"/>
      <c r="B34" s="12"/>
      <c r="C34" s="30" t="str">
        <f t="shared" si="7"/>
        <v>Unsprung</v>
      </c>
      <c r="D34" s="14"/>
      <c r="E34" s="14"/>
      <c r="F34" s="30"/>
      <c r="G34" s="16"/>
      <c r="H34" s="17"/>
      <c r="I34" s="30"/>
      <c r="J34" s="27"/>
      <c r="K34" s="17"/>
      <c r="L34" s="17"/>
      <c r="M34" s="16" t="str">
        <f t="shared" si="8"/>
        <v>A04 - Gearbox</v>
      </c>
    </row>
    <row r="35" ht="1.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>
      <c r="A36" s="26"/>
    </row>
    <row r="37">
      <c r="A37" s="26"/>
      <c r="B37" s="26"/>
    </row>
    <row r="38" ht="22.5" customHeight="1">
      <c r="A38" s="4" t="s">
        <v>58</v>
      </c>
      <c r="B38" s="4" t="s">
        <v>67</v>
      </c>
      <c r="C38" s="4" t="s">
        <v>0</v>
      </c>
      <c r="D38" s="4" t="s">
        <v>68</v>
      </c>
      <c r="E38" s="4" t="s">
        <v>69</v>
      </c>
      <c r="F38" s="4" t="s">
        <v>60</v>
      </c>
      <c r="G38" s="4" t="s">
        <v>7</v>
      </c>
      <c r="H38" s="4" t="s">
        <v>204</v>
      </c>
      <c r="I38" s="4" t="s">
        <v>72</v>
      </c>
      <c r="J38" s="4" t="s">
        <v>70</v>
      </c>
      <c r="K38" s="4" t="s">
        <v>206</v>
      </c>
      <c r="L38" s="4" t="s">
        <v>62</v>
      </c>
      <c r="M38" s="4" t="s">
        <v>207</v>
      </c>
    </row>
    <row r="39" ht="22.5" customHeight="1">
      <c r="A39" s="12"/>
      <c r="B39" s="12"/>
      <c r="C39" s="30" t="str">
        <f t="shared" ref="C39:C43" si="9">"Unsprung"</f>
        <v>Unsprung</v>
      </c>
      <c r="D39" s="14"/>
      <c r="E39" s="14"/>
      <c r="F39" s="30"/>
      <c r="G39" s="16"/>
      <c r="H39" s="17"/>
      <c r="I39" s="30"/>
      <c r="J39" s="27"/>
      <c r="K39" s="17"/>
      <c r="L39" s="17"/>
      <c r="M39" s="16" t="str">
        <f t="shared" ref="M39:M43" si="10">"A05 - Other Unsprung"</f>
        <v>A05 - Other Unsprung</v>
      </c>
    </row>
    <row r="40" ht="22.5" customHeight="1">
      <c r="A40" s="12"/>
      <c r="B40" s="12"/>
      <c r="C40" s="30" t="str">
        <f t="shared" si="9"/>
        <v>Unsprung</v>
      </c>
      <c r="D40" s="14"/>
      <c r="E40" s="14"/>
      <c r="F40" s="30"/>
      <c r="G40" s="16"/>
      <c r="H40" s="17"/>
      <c r="I40" s="30"/>
      <c r="J40" s="27"/>
      <c r="K40" s="17"/>
      <c r="L40" s="17"/>
      <c r="M40" s="16" t="str">
        <f t="shared" si="10"/>
        <v>A05 - Other Unsprung</v>
      </c>
    </row>
    <row r="41" ht="22.5" customHeight="1">
      <c r="A41" s="12"/>
      <c r="B41" s="12"/>
      <c r="C41" s="30" t="str">
        <f t="shared" si="9"/>
        <v>Unsprung</v>
      </c>
      <c r="D41" s="14"/>
      <c r="E41" s="14"/>
      <c r="F41" s="30"/>
      <c r="G41" s="16"/>
      <c r="H41" s="17"/>
      <c r="I41" s="30"/>
      <c r="J41" s="27"/>
      <c r="K41" s="17"/>
      <c r="L41" s="17"/>
      <c r="M41" s="16" t="str">
        <f t="shared" si="10"/>
        <v>A05 - Other Unsprung</v>
      </c>
    </row>
    <row r="42" ht="22.5" customHeight="1">
      <c r="A42" s="12"/>
      <c r="B42" s="12"/>
      <c r="C42" s="30" t="str">
        <f t="shared" si="9"/>
        <v>Unsprung</v>
      </c>
      <c r="D42" s="14"/>
      <c r="E42" s="14"/>
      <c r="F42" s="30"/>
      <c r="G42" s="16"/>
      <c r="H42" s="17"/>
      <c r="I42" s="30"/>
      <c r="J42" s="27"/>
      <c r="K42" s="17"/>
      <c r="L42" s="17"/>
      <c r="M42" s="16" t="str">
        <f t="shared" si="10"/>
        <v>A05 - Other Unsprung</v>
      </c>
    </row>
    <row r="43" ht="22.5" customHeight="1">
      <c r="A43" s="12"/>
      <c r="B43" s="12"/>
      <c r="C43" s="30" t="str">
        <f t="shared" si="9"/>
        <v>Unsprung</v>
      </c>
      <c r="D43" s="14"/>
      <c r="E43" s="14"/>
      <c r="F43" s="30"/>
      <c r="G43" s="16"/>
      <c r="H43" s="17"/>
      <c r="I43" s="30"/>
      <c r="J43" s="27"/>
      <c r="K43" s="17"/>
      <c r="L43" s="17"/>
      <c r="M43" s="16" t="str">
        <f t="shared" si="10"/>
        <v>A05 - Other Unsprung</v>
      </c>
    </row>
    <row r="44" ht="1.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</row>
    <row r="45">
      <c r="A45" s="26"/>
    </row>
  </sheetData>
  <mergeCells count="10">
    <mergeCell ref="A36:M36"/>
    <mergeCell ref="B37:M37"/>
    <mergeCell ref="A45:M45"/>
    <mergeCell ref="B1:M1"/>
    <mergeCell ref="A9:M9"/>
    <mergeCell ref="B10:M10"/>
    <mergeCell ref="A18:M18"/>
    <mergeCell ref="B19:M19"/>
    <mergeCell ref="A27:M27"/>
    <mergeCell ref="B28:M28"/>
  </mergeCells>
  <dataValidations>
    <dataValidation type="list" allowBlank="1" sqref="J3:J7 J12:J16 J21:J25 J30:J34 J39:J43">
      <formula1>#REF!</formula1>
    </dataValidation>
    <dataValidation type="list" allowBlank="1" sqref="F3:F7 F12:F16 F21:F25 F30:F34 F39:F43">
      <formula1>#REF!</formula1>
    </dataValidation>
    <dataValidation type="custom" allowBlank="1" showDropDown="1" sqref="D3:E7 D12:E16 D21:E25 D30:E34 D39:E43">
      <formula1>OR(NOT(ISERROR(DATEVALUE(D3))), AND(ISNUMBER(D3), LEFT(CELL("format", D3))="D"))</formula1>
    </dataValidation>
    <dataValidation type="list" allowBlank="1" sqref="I3:I7 I12:I16 I21:I25 I30:I34 I39:I43">
      <formula1>#REF!</formula1>
    </dataValidation>
    <dataValidation allowBlank="1" showDropDown="1" sqref="B3:B7 K3:L7 B12:B16 K12:L16 B21:B25 K21:L25 B30:B34 K30:L34 B39:B43 K39:L43"/>
    <dataValidation allowBlank="1" showDropDown="1" sqref="A3:A7 A12:A16 A21:A25 A30:A34 A39:A43"/>
    <dataValidation type="list" allowBlank="1" sqref="G3:G7 M3:M7 G12:G16 M12:M16 G21:G25 M21:M25 G30:G34 M30:M34 G39:G43 M39:M43">
      <formula1>#REF!</formula1>
    </dataValidation>
    <dataValidation type="list" allowBlank="1" sqref="C3:C7 C12:C16 C21:C25 C30:C34 C39:C43">
      <formula1>#REF!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23B72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7.0"/>
    <col customWidth="1" hidden="1" min="3" max="3" width="16.38"/>
    <col customWidth="1" min="4" max="5" width="13.88"/>
    <col customWidth="1" min="6" max="6" width="14.38"/>
    <col customWidth="1" min="7" max="7" width="17.0"/>
    <col customWidth="1" min="8" max="8" width="17.63"/>
    <col customWidth="1" min="9" max="9" width="14.0"/>
    <col customWidth="1" min="10" max="10" width="19.5"/>
    <col customWidth="1" min="11" max="12" width="25.13"/>
    <col customWidth="1" hidden="1" min="13" max="13" width="25.13"/>
  </cols>
  <sheetData>
    <row r="1">
      <c r="A1" s="26"/>
      <c r="B1" s="26"/>
    </row>
    <row r="2" ht="22.5" customHeight="1">
      <c r="A2" s="4" t="s">
        <v>58</v>
      </c>
      <c r="B2" s="4" t="s">
        <v>67</v>
      </c>
      <c r="C2" s="4" t="s">
        <v>0</v>
      </c>
      <c r="D2" s="4" t="s">
        <v>68</v>
      </c>
      <c r="E2" s="4" t="s">
        <v>69</v>
      </c>
      <c r="F2" s="4" t="s">
        <v>60</v>
      </c>
      <c r="G2" s="4" t="s">
        <v>7</v>
      </c>
      <c r="H2" s="4" t="s">
        <v>204</v>
      </c>
      <c r="I2" s="4" t="s">
        <v>72</v>
      </c>
      <c r="J2" s="4" t="s">
        <v>70</v>
      </c>
      <c r="K2" s="4" t="s">
        <v>206</v>
      </c>
      <c r="L2" s="4" t="s">
        <v>62</v>
      </c>
      <c r="M2" s="4" t="s">
        <v>207</v>
      </c>
    </row>
    <row r="3" ht="22.5" customHeight="1">
      <c r="A3" s="12" t="s">
        <v>680</v>
      </c>
      <c r="B3" s="12" t="s">
        <v>681</v>
      </c>
      <c r="C3" s="13" t="s">
        <v>121</v>
      </c>
      <c r="D3" s="15">
        <v>46430.0</v>
      </c>
      <c r="E3" s="15">
        <v>46433.0</v>
      </c>
      <c r="F3" s="13" t="s">
        <v>75</v>
      </c>
      <c r="G3" s="16"/>
      <c r="H3" s="12"/>
      <c r="I3" s="13" t="s">
        <v>81</v>
      </c>
      <c r="J3" s="27"/>
      <c r="K3" s="17"/>
      <c r="L3" s="17"/>
      <c r="M3" s="16" t="str">
        <f t="shared" ref="M3:M7" si="1">"A01 - Business"</f>
        <v>A01 - Business</v>
      </c>
    </row>
    <row r="4" ht="22.5" customHeight="1">
      <c r="A4" s="12" t="s">
        <v>682</v>
      </c>
      <c r="B4" s="12" t="s">
        <v>683</v>
      </c>
      <c r="C4" s="30" t="str">
        <f t="shared" ref="C4:C7" si="2">"Business"</f>
        <v>Business</v>
      </c>
      <c r="D4" s="15">
        <v>46508.0</v>
      </c>
      <c r="E4" s="15">
        <v>46512.0</v>
      </c>
      <c r="F4" s="30"/>
      <c r="G4" s="16"/>
      <c r="H4" s="17"/>
      <c r="I4" s="30"/>
      <c r="J4" s="27"/>
      <c r="K4" s="17"/>
      <c r="L4" s="17"/>
      <c r="M4" s="16" t="str">
        <f t="shared" si="1"/>
        <v>A01 - Business</v>
      </c>
    </row>
    <row r="5" ht="22.5" customHeight="1">
      <c r="A5" s="12"/>
      <c r="B5" s="12"/>
      <c r="C5" s="30" t="str">
        <f t="shared" si="2"/>
        <v>Business</v>
      </c>
      <c r="D5" s="14"/>
      <c r="E5" s="14"/>
      <c r="F5" s="30"/>
      <c r="G5" s="16"/>
      <c r="H5" s="17"/>
      <c r="I5" s="30"/>
      <c r="J5" s="27"/>
      <c r="K5" s="17"/>
      <c r="L5" s="17"/>
      <c r="M5" s="16" t="str">
        <f t="shared" si="1"/>
        <v>A01 - Business</v>
      </c>
    </row>
    <row r="6" ht="22.5" customHeight="1">
      <c r="A6" s="12"/>
      <c r="B6" s="12"/>
      <c r="C6" s="30" t="str">
        <f t="shared" si="2"/>
        <v>Business</v>
      </c>
      <c r="D6" s="14"/>
      <c r="E6" s="14"/>
      <c r="F6" s="30"/>
      <c r="G6" s="16"/>
      <c r="H6" s="17"/>
      <c r="I6" s="30"/>
      <c r="J6" s="27"/>
      <c r="K6" s="17"/>
      <c r="L6" s="17"/>
      <c r="M6" s="16" t="str">
        <f t="shared" si="1"/>
        <v>A01 - Business</v>
      </c>
    </row>
    <row r="7" ht="22.5" customHeight="1">
      <c r="A7" s="12"/>
      <c r="B7" s="12"/>
      <c r="C7" s="30" t="str">
        <f t="shared" si="2"/>
        <v>Business</v>
      </c>
      <c r="D7" s="14"/>
      <c r="E7" s="14"/>
      <c r="F7" s="30"/>
      <c r="G7" s="16"/>
      <c r="H7" s="17"/>
      <c r="I7" s="30"/>
      <c r="J7" s="27"/>
      <c r="K7" s="17"/>
      <c r="L7" s="17"/>
      <c r="M7" s="16" t="str">
        <f t="shared" si="1"/>
        <v>A01 - Business</v>
      </c>
    </row>
    <row r="8" ht="1.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>
      <c r="A9" s="26"/>
    </row>
    <row r="10">
      <c r="A10" s="26"/>
      <c r="B10" s="26"/>
    </row>
    <row r="11" ht="22.5" customHeight="1">
      <c r="A11" s="4" t="s">
        <v>58</v>
      </c>
      <c r="B11" s="4" t="s">
        <v>67</v>
      </c>
      <c r="C11" s="4" t="s">
        <v>0</v>
      </c>
      <c r="D11" s="4" t="s">
        <v>68</v>
      </c>
      <c r="E11" s="4" t="s">
        <v>69</v>
      </c>
      <c r="F11" s="4" t="s">
        <v>60</v>
      </c>
      <c r="G11" s="4" t="s">
        <v>7</v>
      </c>
      <c r="H11" s="4" t="s">
        <v>204</v>
      </c>
      <c r="I11" s="4" t="s">
        <v>72</v>
      </c>
      <c r="J11" s="4" t="s">
        <v>70</v>
      </c>
      <c r="K11" s="4" t="s">
        <v>206</v>
      </c>
      <c r="L11" s="4" t="s">
        <v>62</v>
      </c>
      <c r="M11" s="4" t="s">
        <v>207</v>
      </c>
    </row>
    <row r="12" ht="22.5" customHeight="1">
      <c r="A12" s="12" t="s">
        <v>684</v>
      </c>
      <c r="B12" s="12" t="s">
        <v>685</v>
      </c>
      <c r="C12" s="13" t="s">
        <v>121</v>
      </c>
      <c r="D12" s="15">
        <v>46262.0</v>
      </c>
      <c r="E12" s="15">
        <v>46264.0</v>
      </c>
      <c r="F12" s="13" t="s">
        <v>80</v>
      </c>
      <c r="G12" s="16"/>
      <c r="H12" s="12"/>
      <c r="I12" s="13" t="s">
        <v>81</v>
      </c>
      <c r="J12" s="27"/>
      <c r="K12" s="17"/>
      <c r="L12" s="17"/>
      <c r="M12" s="16" t="str">
        <f t="shared" ref="M12:M16" si="3">"A02 - Purchasing"</f>
        <v>A02 - Purchasing</v>
      </c>
    </row>
    <row r="13" ht="22.5" customHeight="1">
      <c r="A13" s="12"/>
      <c r="B13" s="12"/>
      <c r="C13" s="30" t="str">
        <f t="shared" ref="C13:C16" si="4">"Business"</f>
        <v>Business</v>
      </c>
      <c r="D13" s="14"/>
      <c r="E13" s="14"/>
      <c r="F13" s="30"/>
      <c r="G13" s="16"/>
      <c r="H13" s="17"/>
      <c r="I13" s="30"/>
      <c r="J13" s="27"/>
      <c r="K13" s="17"/>
      <c r="L13" s="17"/>
      <c r="M13" s="16" t="str">
        <f t="shared" si="3"/>
        <v>A02 - Purchasing</v>
      </c>
    </row>
    <row r="14" ht="22.5" customHeight="1">
      <c r="A14" s="12"/>
      <c r="B14" s="12"/>
      <c r="C14" s="30" t="str">
        <f t="shared" si="4"/>
        <v>Business</v>
      </c>
      <c r="D14" s="14"/>
      <c r="E14" s="14"/>
      <c r="F14" s="30"/>
      <c r="G14" s="16"/>
      <c r="H14" s="17"/>
      <c r="I14" s="30"/>
      <c r="J14" s="27"/>
      <c r="K14" s="17"/>
      <c r="L14" s="17"/>
      <c r="M14" s="16" t="str">
        <f t="shared" si="3"/>
        <v>A02 - Purchasing</v>
      </c>
    </row>
    <row r="15" ht="22.5" customHeight="1">
      <c r="A15" s="12"/>
      <c r="B15" s="12"/>
      <c r="C15" s="30" t="str">
        <f t="shared" si="4"/>
        <v>Business</v>
      </c>
      <c r="D15" s="14"/>
      <c r="E15" s="14"/>
      <c r="F15" s="30"/>
      <c r="G15" s="16"/>
      <c r="H15" s="17"/>
      <c r="I15" s="30"/>
      <c r="J15" s="27"/>
      <c r="K15" s="17"/>
      <c r="L15" s="17"/>
      <c r="M15" s="16" t="str">
        <f t="shared" si="3"/>
        <v>A02 - Purchasing</v>
      </c>
    </row>
    <row r="16" ht="22.5" customHeight="1">
      <c r="A16" s="12"/>
      <c r="B16" s="12"/>
      <c r="C16" s="30" t="str">
        <f t="shared" si="4"/>
        <v>Business</v>
      </c>
      <c r="D16" s="14"/>
      <c r="E16" s="14"/>
      <c r="F16" s="30"/>
      <c r="G16" s="16"/>
      <c r="H16" s="17"/>
      <c r="I16" s="30"/>
      <c r="J16" s="27"/>
      <c r="K16" s="17"/>
      <c r="L16" s="17"/>
      <c r="M16" s="16" t="str">
        <f t="shared" si="3"/>
        <v>A02 - Purchasing</v>
      </c>
    </row>
    <row r="17" ht="1.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</row>
    <row r="18">
      <c r="A18" s="26"/>
    </row>
    <row r="19">
      <c r="A19" s="26"/>
      <c r="B19" s="26"/>
    </row>
    <row r="20" ht="22.5" customHeight="1">
      <c r="A20" s="4" t="s">
        <v>58</v>
      </c>
      <c r="B20" s="4" t="s">
        <v>67</v>
      </c>
      <c r="C20" s="4" t="s">
        <v>0</v>
      </c>
      <c r="D20" s="4" t="s">
        <v>68</v>
      </c>
      <c r="E20" s="4" t="s">
        <v>69</v>
      </c>
      <c r="F20" s="4" t="s">
        <v>60</v>
      </c>
      <c r="G20" s="4" t="s">
        <v>7</v>
      </c>
      <c r="H20" s="4" t="s">
        <v>204</v>
      </c>
      <c r="I20" s="4" t="s">
        <v>72</v>
      </c>
      <c r="J20" s="4" t="s">
        <v>70</v>
      </c>
      <c r="K20" s="4" t="s">
        <v>206</v>
      </c>
      <c r="L20" s="4" t="s">
        <v>62</v>
      </c>
      <c r="M20" s="4" t="s">
        <v>207</v>
      </c>
    </row>
    <row r="21" ht="22.5" customHeight="1">
      <c r="A21" s="12" t="s">
        <v>686</v>
      </c>
      <c r="B21" s="12" t="s">
        <v>687</v>
      </c>
      <c r="C21" s="13" t="s">
        <v>121</v>
      </c>
      <c r="D21" s="15">
        <v>46273.0</v>
      </c>
      <c r="E21" s="15">
        <v>46273.0</v>
      </c>
      <c r="F21" s="13" t="s">
        <v>75</v>
      </c>
      <c r="G21" s="16"/>
      <c r="H21" s="17"/>
      <c r="I21" s="30"/>
      <c r="J21" s="27"/>
      <c r="K21" s="17"/>
      <c r="L21" s="17"/>
      <c r="M21" s="16" t="str">
        <f t="shared" ref="M21:M33" si="5">"A03 - Recruitment"</f>
        <v>A03 - Recruitment</v>
      </c>
    </row>
    <row r="22" ht="22.5" customHeight="1">
      <c r="A22" s="12" t="s">
        <v>689</v>
      </c>
      <c r="B22" s="12" t="s">
        <v>690</v>
      </c>
      <c r="C22" s="13" t="s">
        <v>121</v>
      </c>
      <c r="D22" s="15">
        <v>46271.0</v>
      </c>
      <c r="E22" s="15">
        <v>46279.0</v>
      </c>
      <c r="F22" s="30"/>
      <c r="G22" s="16"/>
      <c r="H22" s="17"/>
      <c r="I22" s="30"/>
      <c r="J22" s="27"/>
      <c r="K22" s="17"/>
      <c r="L22" s="17"/>
      <c r="M22" s="16" t="str">
        <f t="shared" si="5"/>
        <v>A03 - Recruitment</v>
      </c>
    </row>
    <row r="23" ht="22.5" customHeight="1">
      <c r="A23" s="31" t="s">
        <v>691</v>
      </c>
      <c r="B23" s="31" t="s">
        <v>692</v>
      </c>
      <c r="C23" s="32" t="s">
        <v>121</v>
      </c>
      <c r="D23" s="52"/>
      <c r="E23" s="33">
        <v>46266.0</v>
      </c>
      <c r="F23" s="32" t="s">
        <v>95</v>
      </c>
      <c r="G23" s="34"/>
      <c r="H23" s="37"/>
      <c r="I23" s="58"/>
      <c r="J23" s="36"/>
      <c r="K23" s="37"/>
      <c r="L23" s="37"/>
      <c r="M23" s="34" t="str">
        <f t="shared" si="5"/>
        <v>A03 - Recruitment</v>
      </c>
    </row>
    <row r="24" ht="22.5" customHeight="1">
      <c r="A24" s="31" t="s">
        <v>693</v>
      </c>
      <c r="B24" s="31" t="s">
        <v>694</v>
      </c>
      <c r="C24" s="32" t="s">
        <v>121</v>
      </c>
      <c r="D24" s="52"/>
      <c r="E24" s="33">
        <v>46267.0</v>
      </c>
      <c r="F24" s="32" t="s">
        <v>95</v>
      </c>
      <c r="G24" s="34"/>
      <c r="H24" s="37"/>
      <c r="I24" s="58"/>
      <c r="J24" s="36"/>
      <c r="K24" s="37"/>
      <c r="L24" s="37"/>
      <c r="M24" s="34" t="str">
        <f t="shared" si="5"/>
        <v>A03 - Recruitment</v>
      </c>
    </row>
    <row r="25" ht="22.5" customHeight="1">
      <c r="A25" s="12" t="s">
        <v>695</v>
      </c>
      <c r="B25" s="12" t="s">
        <v>696</v>
      </c>
      <c r="C25" s="13" t="s">
        <v>121</v>
      </c>
      <c r="D25" s="14"/>
      <c r="E25" s="15">
        <v>46280.0</v>
      </c>
      <c r="F25" s="30"/>
      <c r="G25" s="16"/>
      <c r="H25" s="17"/>
      <c r="I25" s="30"/>
      <c r="J25" s="27"/>
      <c r="K25" s="17"/>
      <c r="L25" s="17"/>
      <c r="M25" s="16" t="str">
        <f t="shared" si="5"/>
        <v>A03 - Recruitment</v>
      </c>
    </row>
    <row r="26" ht="22.5" customHeight="1">
      <c r="A26" s="12" t="s">
        <v>697</v>
      </c>
      <c r="B26" s="12" t="s">
        <v>698</v>
      </c>
      <c r="C26" s="13" t="s">
        <v>121</v>
      </c>
      <c r="D26" s="14"/>
      <c r="E26" s="15">
        <v>46286.0</v>
      </c>
      <c r="F26" s="30"/>
      <c r="G26" s="16"/>
      <c r="H26" s="17"/>
      <c r="I26" s="30"/>
      <c r="J26" s="27"/>
      <c r="K26" s="17"/>
      <c r="L26" s="17"/>
      <c r="M26" s="16" t="str">
        <f t="shared" si="5"/>
        <v>A03 - Recruitment</v>
      </c>
    </row>
    <row r="27" ht="22.5" customHeight="1">
      <c r="A27" s="12" t="s">
        <v>699</v>
      </c>
      <c r="B27" s="12" t="s">
        <v>700</v>
      </c>
      <c r="C27" s="13" t="s">
        <v>121</v>
      </c>
      <c r="D27" s="14"/>
      <c r="E27" s="15">
        <v>46302.0</v>
      </c>
      <c r="F27" s="30"/>
      <c r="G27" s="16"/>
      <c r="H27" s="17"/>
      <c r="I27" s="30"/>
      <c r="J27" s="27"/>
      <c r="K27" s="17"/>
      <c r="L27" s="17"/>
      <c r="M27" s="16" t="str">
        <f t="shared" si="5"/>
        <v>A03 - Recruitment</v>
      </c>
    </row>
    <row r="28" ht="22.5" customHeight="1">
      <c r="A28" s="12" t="s">
        <v>701</v>
      </c>
      <c r="B28" s="12" t="s">
        <v>702</v>
      </c>
      <c r="C28" s="13" t="s">
        <v>121</v>
      </c>
      <c r="D28" s="15">
        <v>46312.0</v>
      </c>
      <c r="E28" s="15">
        <v>46313.0</v>
      </c>
      <c r="F28" s="30"/>
      <c r="G28" s="16"/>
      <c r="H28" s="17"/>
      <c r="I28" s="30"/>
      <c r="J28" s="27"/>
      <c r="K28" s="17"/>
      <c r="L28" s="17"/>
      <c r="M28" s="16" t="str">
        <f t="shared" si="5"/>
        <v>A03 - Recruitment</v>
      </c>
    </row>
    <row r="29" ht="22.5" customHeight="1">
      <c r="A29" s="12" t="s">
        <v>703</v>
      </c>
      <c r="B29" s="12" t="s">
        <v>704</v>
      </c>
      <c r="C29" s="13" t="s">
        <v>121</v>
      </c>
      <c r="D29" s="15">
        <v>46307.0</v>
      </c>
      <c r="E29" s="15">
        <v>46308.0</v>
      </c>
      <c r="F29" s="30"/>
      <c r="G29" s="16"/>
      <c r="H29" s="17"/>
      <c r="I29" s="30"/>
      <c r="J29" s="27"/>
      <c r="K29" s="17"/>
      <c r="L29" s="17"/>
      <c r="M29" s="16" t="str">
        <f t="shared" si="5"/>
        <v>A03 - Recruitment</v>
      </c>
    </row>
    <row r="30" ht="22.5" customHeight="1">
      <c r="A30" s="12" t="s">
        <v>705</v>
      </c>
      <c r="B30" s="12" t="s">
        <v>706</v>
      </c>
      <c r="C30" s="13" t="s">
        <v>121</v>
      </c>
      <c r="D30" s="15">
        <v>46315.0</v>
      </c>
      <c r="E30" s="15">
        <v>46322.0</v>
      </c>
      <c r="F30" s="30"/>
      <c r="G30" s="16"/>
      <c r="H30" s="17"/>
      <c r="I30" s="30"/>
      <c r="J30" s="27"/>
      <c r="K30" s="17"/>
      <c r="L30" s="17"/>
      <c r="M30" s="16" t="str">
        <f t="shared" si="5"/>
        <v>A03 - Recruitment</v>
      </c>
    </row>
    <row r="31" ht="22.5" customHeight="1">
      <c r="A31" s="12" t="s">
        <v>707</v>
      </c>
      <c r="B31" s="12" t="s">
        <v>708</v>
      </c>
      <c r="C31" s="13" t="s">
        <v>121</v>
      </c>
      <c r="D31" s="15">
        <v>46326.0</v>
      </c>
      <c r="E31" s="15">
        <v>46327.0</v>
      </c>
      <c r="F31" s="30"/>
      <c r="G31" s="16"/>
      <c r="H31" s="17"/>
      <c r="I31" s="30"/>
      <c r="J31" s="27"/>
      <c r="K31" s="17"/>
      <c r="L31" s="17"/>
      <c r="M31" s="16" t="str">
        <f t="shared" si="5"/>
        <v>A03 - Recruitment</v>
      </c>
    </row>
    <row r="32" ht="22.5" customHeight="1">
      <c r="A32" s="12"/>
      <c r="B32" s="12"/>
      <c r="C32" s="30" t="str">
        <f t="shared" ref="C32:C33" si="6">"Business"</f>
        <v>Business</v>
      </c>
      <c r="D32" s="14"/>
      <c r="E32" s="14"/>
      <c r="F32" s="30"/>
      <c r="G32" s="16"/>
      <c r="H32" s="17"/>
      <c r="I32" s="30"/>
      <c r="J32" s="27"/>
      <c r="K32" s="17"/>
      <c r="L32" s="17"/>
      <c r="M32" s="16" t="str">
        <f t="shared" si="5"/>
        <v>A03 - Recruitment</v>
      </c>
    </row>
    <row r="33" ht="22.5" customHeight="1">
      <c r="A33" s="12"/>
      <c r="B33" s="12"/>
      <c r="C33" s="30" t="str">
        <f t="shared" si="6"/>
        <v>Business</v>
      </c>
      <c r="D33" s="14"/>
      <c r="E33" s="14"/>
      <c r="F33" s="30"/>
      <c r="G33" s="16"/>
      <c r="H33" s="17"/>
      <c r="I33" s="30"/>
      <c r="J33" s="27"/>
      <c r="K33" s="17"/>
      <c r="L33" s="17"/>
      <c r="M33" s="16" t="str">
        <f t="shared" si="5"/>
        <v>A03 - Recruitment</v>
      </c>
    </row>
    <row r="34" ht="1.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</row>
    <row r="35">
      <c r="A35" s="26"/>
    </row>
    <row r="36">
      <c r="A36" s="26"/>
      <c r="B36" s="26"/>
    </row>
    <row r="37" ht="22.5" customHeight="1">
      <c r="A37" s="4" t="s">
        <v>58</v>
      </c>
      <c r="B37" s="4" t="s">
        <v>67</v>
      </c>
      <c r="C37" s="4" t="s">
        <v>0</v>
      </c>
      <c r="D37" s="4" t="s">
        <v>68</v>
      </c>
      <c r="E37" s="4" t="s">
        <v>69</v>
      </c>
      <c r="F37" s="4" t="s">
        <v>60</v>
      </c>
      <c r="G37" s="4" t="s">
        <v>7</v>
      </c>
      <c r="H37" s="4" t="s">
        <v>204</v>
      </c>
      <c r="I37" s="4" t="s">
        <v>72</v>
      </c>
      <c r="J37" s="4" t="s">
        <v>70</v>
      </c>
      <c r="K37" s="4" t="s">
        <v>206</v>
      </c>
      <c r="L37" s="4" t="s">
        <v>62</v>
      </c>
      <c r="M37" s="4" t="s">
        <v>207</v>
      </c>
    </row>
    <row r="38" ht="22.5" customHeight="1">
      <c r="A38" s="12"/>
      <c r="B38" s="12"/>
      <c r="C38" s="30" t="str">
        <f t="shared" ref="C38:C42" si="7">"Business"</f>
        <v>Business</v>
      </c>
      <c r="D38" s="14"/>
      <c r="E38" s="14"/>
      <c r="F38" s="30"/>
      <c r="G38" s="16"/>
      <c r="H38" s="17"/>
      <c r="I38" s="30"/>
      <c r="J38" s="27"/>
      <c r="K38" s="17"/>
      <c r="L38" s="17"/>
      <c r="M38" s="16" t="str">
        <f t="shared" ref="M38:M42" si="8">"A04 - Business Presentations"</f>
        <v>A04 - Business Presentations</v>
      </c>
    </row>
    <row r="39" ht="22.5" customHeight="1">
      <c r="A39" s="12"/>
      <c r="B39" s="12"/>
      <c r="C39" s="30" t="str">
        <f t="shared" si="7"/>
        <v>Business</v>
      </c>
      <c r="D39" s="14"/>
      <c r="E39" s="14"/>
      <c r="F39" s="30"/>
      <c r="G39" s="16"/>
      <c r="H39" s="17"/>
      <c r="I39" s="30"/>
      <c r="J39" s="27"/>
      <c r="K39" s="17"/>
      <c r="L39" s="17"/>
      <c r="M39" s="16" t="str">
        <f t="shared" si="8"/>
        <v>A04 - Business Presentations</v>
      </c>
    </row>
    <row r="40" ht="22.5" customHeight="1">
      <c r="A40" s="12"/>
      <c r="B40" s="12"/>
      <c r="C40" s="30" t="str">
        <f t="shared" si="7"/>
        <v>Business</v>
      </c>
      <c r="D40" s="14"/>
      <c r="E40" s="14"/>
      <c r="F40" s="30"/>
      <c r="G40" s="16"/>
      <c r="H40" s="17"/>
      <c r="I40" s="30"/>
      <c r="J40" s="27"/>
      <c r="K40" s="17"/>
      <c r="L40" s="17"/>
      <c r="M40" s="16" t="str">
        <f t="shared" si="8"/>
        <v>A04 - Business Presentations</v>
      </c>
    </row>
    <row r="41" ht="22.5" customHeight="1">
      <c r="A41" s="12"/>
      <c r="B41" s="12"/>
      <c r="C41" s="30" t="str">
        <f t="shared" si="7"/>
        <v>Business</v>
      </c>
      <c r="D41" s="14"/>
      <c r="E41" s="14"/>
      <c r="F41" s="30"/>
      <c r="G41" s="16"/>
      <c r="H41" s="17"/>
      <c r="I41" s="30"/>
      <c r="J41" s="27"/>
      <c r="K41" s="17"/>
      <c r="L41" s="17"/>
      <c r="M41" s="16" t="str">
        <f t="shared" si="8"/>
        <v>A04 - Business Presentations</v>
      </c>
    </row>
    <row r="42" ht="22.5" customHeight="1">
      <c r="A42" s="12"/>
      <c r="B42" s="12"/>
      <c r="C42" s="30" t="str">
        <f t="shared" si="7"/>
        <v>Business</v>
      </c>
      <c r="D42" s="14"/>
      <c r="E42" s="14"/>
      <c r="F42" s="30"/>
      <c r="G42" s="16"/>
      <c r="H42" s="17"/>
      <c r="I42" s="30"/>
      <c r="J42" s="27"/>
      <c r="K42" s="17"/>
      <c r="L42" s="17"/>
      <c r="M42" s="16" t="str">
        <f t="shared" si="8"/>
        <v>A04 - Business Presentations</v>
      </c>
    </row>
    <row r="43" ht="1.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>
      <c r="A44" s="26"/>
    </row>
    <row r="45">
      <c r="A45" s="26"/>
      <c r="B45" s="26"/>
    </row>
    <row r="46" ht="22.5" customHeight="1">
      <c r="A46" s="4" t="s">
        <v>58</v>
      </c>
      <c r="B46" s="4" t="s">
        <v>67</v>
      </c>
      <c r="C46" s="4" t="s">
        <v>0</v>
      </c>
      <c r="D46" s="4" t="s">
        <v>68</v>
      </c>
      <c r="E46" s="4" t="s">
        <v>69</v>
      </c>
      <c r="F46" s="4" t="s">
        <v>60</v>
      </c>
      <c r="G46" s="4" t="s">
        <v>7</v>
      </c>
      <c r="H46" s="4" t="s">
        <v>204</v>
      </c>
      <c r="I46" s="4" t="s">
        <v>72</v>
      </c>
      <c r="J46" s="4" t="s">
        <v>70</v>
      </c>
      <c r="K46" s="4" t="s">
        <v>206</v>
      </c>
      <c r="L46" s="4" t="s">
        <v>62</v>
      </c>
      <c r="M46" s="4" t="s">
        <v>207</v>
      </c>
    </row>
    <row r="47" ht="22.5" customHeight="1">
      <c r="A47" s="12"/>
      <c r="B47" s="12"/>
      <c r="C47" s="30" t="str">
        <f t="shared" ref="C47:C51" si="9">"Business"</f>
        <v>Business</v>
      </c>
      <c r="D47" s="14"/>
      <c r="E47" s="14"/>
      <c r="F47" s="30"/>
      <c r="G47" s="16"/>
      <c r="H47" s="17"/>
      <c r="I47" s="30"/>
      <c r="J47" s="27"/>
      <c r="K47" s="17"/>
      <c r="L47" s="17"/>
      <c r="M47" s="16" t="str">
        <f t="shared" ref="M47:M51" si="10">"A05 - Fundraising, Sponsors"</f>
        <v>A05 - Fundraising, Sponsors</v>
      </c>
    </row>
    <row r="48" ht="22.5" customHeight="1">
      <c r="A48" s="12"/>
      <c r="B48" s="12"/>
      <c r="C48" s="30" t="str">
        <f t="shared" si="9"/>
        <v>Business</v>
      </c>
      <c r="D48" s="14"/>
      <c r="E48" s="14"/>
      <c r="F48" s="30"/>
      <c r="G48" s="16"/>
      <c r="H48" s="17"/>
      <c r="I48" s="30"/>
      <c r="J48" s="27"/>
      <c r="K48" s="17"/>
      <c r="L48" s="17"/>
      <c r="M48" s="16" t="str">
        <f t="shared" si="10"/>
        <v>A05 - Fundraising, Sponsors</v>
      </c>
    </row>
    <row r="49" ht="22.5" customHeight="1">
      <c r="A49" s="12"/>
      <c r="B49" s="12"/>
      <c r="C49" s="30" t="str">
        <f t="shared" si="9"/>
        <v>Business</v>
      </c>
      <c r="D49" s="14"/>
      <c r="E49" s="14"/>
      <c r="F49" s="30"/>
      <c r="G49" s="16"/>
      <c r="H49" s="17"/>
      <c r="I49" s="30"/>
      <c r="J49" s="27"/>
      <c r="K49" s="17"/>
      <c r="L49" s="17"/>
      <c r="M49" s="16" t="str">
        <f t="shared" si="10"/>
        <v>A05 - Fundraising, Sponsors</v>
      </c>
    </row>
    <row r="50" ht="22.5" customHeight="1">
      <c r="A50" s="12"/>
      <c r="B50" s="12"/>
      <c r="C50" s="30" t="str">
        <f t="shared" si="9"/>
        <v>Business</v>
      </c>
      <c r="D50" s="14"/>
      <c r="E50" s="14"/>
      <c r="F50" s="30"/>
      <c r="G50" s="16"/>
      <c r="H50" s="17"/>
      <c r="I50" s="30"/>
      <c r="J50" s="27"/>
      <c r="K50" s="17"/>
      <c r="L50" s="17"/>
      <c r="M50" s="16" t="str">
        <f t="shared" si="10"/>
        <v>A05 - Fundraising, Sponsors</v>
      </c>
    </row>
    <row r="51" ht="22.5" customHeight="1">
      <c r="A51" s="12"/>
      <c r="B51" s="12"/>
      <c r="C51" s="30" t="str">
        <f t="shared" si="9"/>
        <v>Business</v>
      </c>
      <c r="D51" s="14"/>
      <c r="E51" s="14"/>
      <c r="F51" s="30"/>
      <c r="G51" s="16"/>
      <c r="H51" s="17"/>
      <c r="I51" s="30"/>
      <c r="J51" s="27"/>
      <c r="K51" s="17"/>
      <c r="L51" s="17"/>
      <c r="M51" s="16" t="str">
        <f t="shared" si="10"/>
        <v>A05 - Fundraising, Sponsors</v>
      </c>
    </row>
    <row r="52" ht="1.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</row>
    <row r="53">
      <c r="A53" s="26"/>
    </row>
    <row r="54">
      <c r="A54" s="26"/>
      <c r="B54" s="26"/>
    </row>
    <row r="55" ht="22.5" customHeight="1">
      <c r="A55" s="4" t="s">
        <v>58</v>
      </c>
      <c r="B55" s="4" t="s">
        <v>67</v>
      </c>
      <c r="C55" s="4" t="s">
        <v>0</v>
      </c>
      <c r="D55" s="4" t="s">
        <v>68</v>
      </c>
      <c r="E55" s="4" t="s">
        <v>69</v>
      </c>
      <c r="F55" s="4" t="s">
        <v>60</v>
      </c>
      <c r="G55" s="4" t="s">
        <v>7</v>
      </c>
      <c r="H55" s="4" t="s">
        <v>204</v>
      </c>
      <c r="I55" s="4" t="s">
        <v>72</v>
      </c>
      <c r="J55" s="4" t="s">
        <v>70</v>
      </c>
      <c r="K55" s="4" t="s">
        <v>206</v>
      </c>
      <c r="L55" s="4" t="s">
        <v>62</v>
      </c>
      <c r="M55" s="4" t="s">
        <v>207</v>
      </c>
    </row>
    <row r="56" ht="22.5" customHeight="1">
      <c r="A56" s="31" t="s">
        <v>710</v>
      </c>
      <c r="B56" s="31" t="s">
        <v>711</v>
      </c>
      <c r="C56" s="32" t="s">
        <v>121</v>
      </c>
      <c r="D56" s="33">
        <v>46258.0</v>
      </c>
      <c r="E56" s="33">
        <v>46261.0</v>
      </c>
      <c r="F56" s="32" t="s">
        <v>95</v>
      </c>
      <c r="G56" s="34"/>
      <c r="H56" s="31" t="s">
        <v>914</v>
      </c>
      <c r="I56" s="32" t="s">
        <v>91</v>
      </c>
      <c r="J56" s="36"/>
      <c r="K56" s="37"/>
      <c r="L56" s="37"/>
      <c r="M56" s="34" t="str">
        <f t="shared" ref="M56:M60" si="11">"A06 - Website"</f>
        <v>A06 - Website</v>
      </c>
    </row>
    <row r="57" ht="22.5" customHeight="1">
      <c r="A57" s="12"/>
      <c r="B57" s="12"/>
      <c r="C57" s="30" t="str">
        <f t="shared" ref="C57:C60" si="12">"Business"</f>
        <v>Business</v>
      </c>
      <c r="D57" s="14"/>
      <c r="E57" s="14"/>
      <c r="F57" s="30"/>
      <c r="G57" s="16"/>
      <c r="H57" s="17"/>
      <c r="I57" s="30"/>
      <c r="J57" s="27"/>
      <c r="K57" s="17"/>
      <c r="L57" s="17"/>
      <c r="M57" s="16" t="str">
        <f t="shared" si="11"/>
        <v>A06 - Website</v>
      </c>
    </row>
    <row r="58" ht="22.5" customHeight="1">
      <c r="A58" s="12"/>
      <c r="B58" s="12"/>
      <c r="C58" s="30" t="str">
        <f t="shared" si="12"/>
        <v>Business</v>
      </c>
      <c r="D58" s="14"/>
      <c r="E58" s="14"/>
      <c r="F58" s="30"/>
      <c r="G58" s="16"/>
      <c r="H58" s="17"/>
      <c r="I58" s="30"/>
      <c r="J58" s="27"/>
      <c r="K58" s="17"/>
      <c r="L58" s="17"/>
      <c r="M58" s="16" t="str">
        <f t="shared" si="11"/>
        <v>A06 - Website</v>
      </c>
    </row>
    <row r="59" ht="22.5" customHeight="1">
      <c r="A59" s="12"/>
      <c r="B59" s="12"/>
      <c r="C59" s="30" t="str">
        <f t="shared" si="12"/>
        <v>Business</v>
      </c>
      <c r="D59" s="14"/>
      <c r="E59" s="14"/>
      <c r="F59" s="30"/>
      <c r="G59" s="16"/>
      <c r="H59" s="17"/>
      <c r="I59" s="30"/>
      <c r="J59" s="27"/>
      <c r="K59" s="17"/>
      <c r="L59" s="17"/>
      <c r="M59" s="16" t="str">
        <f t="shared" si="11"/>
        <v>A06 - Website</v>
      </c>
    </row>
    <row r="60" ht="22.5" customHeight="1">
      <c r="A60" s="12"/>
      <c r="B60" s="12"/>
      <c r="C60" s="30" t="str">
        <f t="shared" si="12"/>
        <v>Business</v>
      </c>
      <c r="D60" s="14"/>
      <c r="E60" s="14"/>
      <c r="F60" s="30"/>
      <c r="G60" s="16"/>
      <c r="H60" s="17"/>
      <c r="I60" s="30"/>
      <c r="J60" s="27"/>
      <c r="K60" s="17"/>
      <c r="L60" s="17"/>
      <c r="M60" s="16" t="str">
        <f t="shared" si="11"/>
        <v>A06 - Website</v>
      </c>
    </row>
    <row r="61" ht="1.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</row>
    <row r="62">
      <c r="A62" s="26"/>
    </row>
    <row r="63">
      <c r="A63" s="26"/>
      <c r="B63" s="26"/>
    </row>
    <row r="64" ht="22.5" customHeight="1">
      <c r="A64" s="4" t="s">
        <v>58</v>
      </c>
      <c r="B64" s="4" t="s">
        <v>67</v>
      </c>
      <c r="C64" s="4" t="s">
        <v>0</v>
      </c>
      <c r="D64" s="4" t="s">
        <v>68</v>
      </c>
      <c r="E64" s="4" t="s">
        <v>69</v>
      </c>
      <c r="F64" s="4" t="s">
        <v>60</v>
      </c>
      <c r="G64" s="4" t="s">
        <v>7</v>
      </c>
      <c r="H64" s="4" t="s">
        <v>204</v>
      </c>
      <c r="I64" s="4" t="s">
        <v>72</v>
      </c>
      <c r="J64" s="4" t="s">
        <v>70</v>
      </c>
      <c r="K64" s="4" t="s">
        <v>206</v>
      </c>
      <c r="L64" s="4" t="s">
        <v>62</v>
      </c>
      <c r="M64" s="4" t="s">
        <v>207</v>
      </c>
    </row>
    <row r="65" ht="22.5" customHeight="1">
      <c r="A65" s="12"/>
      <c r="B65" s="12"/>
      <c r="C65" s="30" t="str">
        <f t="shared" ref="C65:C69" si="13">"Business"</f>
        <v>Business</v>
      </c>
      <c r="D65" s="14"/>
      <c r="E65" s="14"/>
      <c r="F65" s="30"/>
      <c r="G65" s="16"/>
      <c r="H65" s="17"/>
      <c r="I65" s="30"/>
      <c r="J65" s="27"/>
      <c r="K65" s="17"/>
      <c r="L65" s="17"/>
      <c r="M65" s="16" t="str">
        <f t="shared" ref="M65:M69" si="14">"A07 - Social Media"</f>
        <v>A07 - Social Media</v>
      </c>
    </row>
    <row r="66" ht="22.5" customHeight="1">
      <c r="A66" s="12"/>
      <c r="B66" s="12"/>
      <c r="C66" s="30" t="str">
        <f t="shared" si="13"/>
        <v>Business</v>
      </c>
      <c r="D66" s="14"/>
      <c r="E66" s="14"/>
      <c r="F66" s="30"/>
      <c r="G66" s="16"/>
      <c r="H66" s="17"/>
      <c r="I66" s="30"/>
      <c r="J66" s="27"/>
      <c r="K66" s="17"/>
      <c r="L66" s="17"/>
      <c r="M66" s="16" t="str">
        <f t="shared" si="14"/>
        <v>A07 - Social Media</v>
      </c>
    </row>
    <row r="67" ht="22.5" customHeight="1">
      <c r="A67" s="12"/>
      <c r="B67" s="12"/>
      <c r="C67" s="30" t="str">
        <f t="shared" si="13"/>
        <v>Business</v>
      </c>
      <c r="D67" s="14"/>
      <c r="E67" s="14"/>
      <c r="F67" s="30"/>
      <c r="G67" s="16"/>
      <c r="H67" s="17"/>
      <c r="I67" s="30"/>
      <c r="J67" s="27"/>
      <c r="K67" s="17"/>
      <c r="L67" s="17"/>
      <c r="M67" s="16" t="str">
        <f t="shared" si="14"/>
        <v>A07 - Social Media</v>
      </c>
    </row>
    <row r="68" ht="22.5" customHeight="1">
      <c r="A68" s="12"/>
      <c r="B68" s="12"/>
      <c r="C68" s="30" t="str">
        <f t="shared" si="13"/>
        <v>Business</v>
      </c>
      <c r="D68" s="14"/>
      <c r="E68" s="14"/>
      <c r="F68" s="30"/>
      <c r="G68" s="16"/>
      <c r="H68" s="17"/>
      <c r="I68" s="30"/>
      <c r="J68" s="27"/>
      <c r="K68" s="17"/>
      <c r="L68" s="17"/>
      <c r="M68" s="16" t="str">
        <f t="shared" si="14"/>
        <v>A07 - Social Media</v>
      </c>
    </row>
    <row r="69" ht="22.5" customHeight="1">
      <c r="A69" s="12"/>
      <c r="B69" s="12"/>
      <c r="C69" s="30" t="str">
        <f t="shared" si="13"/>
        <v>Business</v>
      </c>
      <c r="D69" s="14"/>
      <c r="E69" s="14"/>
      <c r="F69" s="30"/>
      <c r="G69" s="16"/>
      <c r="H69" s="17"/>
      <c r="I69" s="30"/>
      <c r="J69" s="27"/>
      <c r="K69" s="17"/>
      <c r="L69" s="17"/>
      <c r="M69" s="16" t="str">
        <f t="shared" si="14"/>
        <v>A07 - Social Media</v>
      </c>
    </row>
    <row r="70" ht="1.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</row>
    <row r="71">
      <c r="A71" s="26"/>
    </row>
    <row r="72">
      <c r="A72" s="26"/>
      <c r="B72" s="26"/>
    </row>
    <row r="73" ht="22.5" customHeight="1">
      <c r="A73" s="4" t="s">
        <v>58</v>
      </c>
      <c r="B73" s="4" t="s">
        <v>67</v>
      </c>
      <c r="C73" s="4" t="s">
        <v>0</v>
      </c>
      <c r="D73" s="4" t="s">
        <v>68</v>
      </c>
      <c r="E73" s="4" t="s">
        <v>69</v>
      </c>
      <c r="F73" s="4" t="s">
        <v>60</v>
      </c>
      <c r="G73" s="4" t="s">
        <v>7</v>
      </c>
      <c r="H73" s="4" t="s">
        <v>204</v>
      </c>
      <c r="I73" s="4" t="s">
        <v>72</v>
      </c>
      <c r="J73" s="4" t="s">
        <v>70</v>
      </c>
      <c r="K73" s="4" t="s">
        <v>206</v>
      </c>
      <c r="L73" s="4" t="s">
        <v>62</v>
      </c>
      <c r="M73" s="4" t="s">
        <v>207</v>
      </c>
    </row>
    <row r="74" ht="22.5" customHeight="1">
      <c r="A74" s="12"/>
      <c r="B74" s="12"/>
      <c r="C74" s="30" t="str">
        <f t="shared" ref="C74:C78" si="15">"Business"</f>
        <v>Business</v>
      </c>
      <c r="D74" s="14"/>
      <c r="E74" s="14"/>
      <c r="F74" s="30"/>
      <c r="G74" s="16"/>
      <c r="H74" s="17"/>
      <c r="I74" s="30"/>
      <c r="J74" s="27"/>
      <c r="K74" s="17"/>
      <c r="L74" s="17"/>
      <c r="M74" s="16" t="str">
        <f t="shared" ref="M74:M78" si="16">"A08 - Merch"</f>
        <v>A08 - Merch</v>
      </c>
    </row>
    <row r="75" ht="22.5" customHeight="1">
      <c r="A75" s="12"/>
      <c r="B75" s="12"/>
      <c r="C75" s="30" t="str">
        <f t="shared" si="15"/>
        <v>Business</v>
      </c>
      <c r="D75" s="14"/>
      <c r="E75" s="14"/>
      <c r="F75" s="30"/>
      <c r="G75" s="16"/>
      <c r="H75" s="17"/>
      <c r="I75" s="30"/>
      <c r="J75" s="27"/>
      <c r="K75" s="17"/>
      <c r="L75" s="17"/>
      <c r="M75" s="16" t="str">
        <f t="shared" si="16"/>
        <v>A08 - Merch</v>
      </c>
    </row>
    <row r="76" ht="22.5" customHeight="1">
      <c r="A76" s="12"/>
      <c r="B76" s="12"/>
      <c r="C76" s="30" t="str">
        <f t="shared" si="15"/>
        <v>Business</v>
      </c>
      <c r="D76" s="14"/>
      <c r="E76" s="14"/>
      <c r="F76" s="30"/>
      <c r="G76" s="16"/>
      <c r="H76" s="17"/>
      <c r="I76" s="30"/>
      <c r="J76" s="27"/>
      <c r="K76" s="17"/>
      <c r="L76" s="17"/>
      <c r="M76" s="16" t="str">
        <f t="shared" si="16"/>
        <v>A08 - Merch</v>
      </c>
    </row>
    <row r="77" ht="22.5" customHeight="1">
      <c r="A77" s="12"/>
      <c r="B77" s="12"/>
      <c r="C77" s="30" t="str">
        <f t="shared" si="15"/>
        <v>Business</v>
      </c>
      <c r="D77" s="14"/>
      <c r="E77" s="14"/>
      <c r="F77" s="30"/>
      <c r="G77" s="16"/>
      <c r="H77" s="17"/>
      <c r="I77" s="30"/>
      <c r="J77" s="27"/>
      <c r="K77" s="17"/>
      <c r="L77" s="17"/>
      <c r="M77" s="16" t="str">
        <f t="shared" si="16"/>
        <v>A08 - Merch</v>
      </c>
    </row>
    <row r="78" ht="22.5" customHeight="1">
      <c r="A78" s="12"/>
      <c r="B78" s="12"/>
      <c r="C78" s="30" t="str">
        <f t="shared" si="15"/>
        <v>Business</v>
      </c>
      <c r="D78" s="14"/>
      <c r="E78" s="14"/>
      <c r="F78" s="30"/>
      <c r="G78" s="16"/>
      <c r="H78" s="17"/>
      <c r="I78" s="30"/>
      <c r="J78" s="27"/>
      <c r="K78" s="17"/>
      <c r="L78" s="17"/>
      <c r="M78" s="16" t="str">
        <f t="shared" si="16"/>
        <v>A08 - Merch</v>
      </c>
    </row>
    <row r="79" ht="1.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</row>
    <row r="80">
      <c r="A80" s="26"/>
    </row>
    <row r="81">
      <c r="A81" s="26"/>
      <c r="B81" s="26"/>
    </row>
    <row r="82" ht="22.5" customHeight="1">
      <c r="A82" s="4" t="s">
        <v>58</v>
      </c>
      <c r="B82" s="4" t="s">
        <v>67</v>
      </c>
      <c r="C82" s="4" t="s">
        <v>0</v>
      </c>
      <c r="D82" s="4" t="s">
        <v>68</v>
      </c>
      <c r="E82" s="4" t="s">
        <v>69</v>
      </c>
      <c r="F82" s="4" t="s">
        <v>60</v>
      </c>
      <c r="G82" s="4" t="s">
        <v>7</v>
      </c>
      <c r="H82" s="4" t="s">
        <v>204</v>
      </c>
      <c r="I82" s="4" t="s">
        <v>72</v>
      </c>
      <c r="J82" s="4" t="s">
        <v>70</v>
      </c>
      <c r="K82" s="4" t="s">
        <v>206</v>
      </c>
      <c r="L82" s="4" t="s">
        <v>62</v>
      </c>
      <c r="M82" s="4" t="s">
        <v>207</v>
      </c>
    </row>
    <row r="83" ht="22.5" customHeight="1">
      <c r="A83" s="12"/>
      <c r="B83" s="12"/>
      <c r="C83" s="30" t="str">
        <f t="shared" ref="C83:C87" si="17">"Business"</f>
        <v>Business</v>
      </c>
      <c r="D83" s="14"/>
      <c r="E83" s="14"/>
      <c r="F83" s="30"/>
      <c r="G83" s="16"/>
      <c r="H83" s="17"/>
      <c r="I83" s="30"/>
      <c r="J83" s="27"/>
      <c r="K83" s="17"/>
      <c r="L83" s="17"/>
      <c r="M83" s="16" t="str">
        <f t="shared" ref="M83:M87" si="18">"A09 - Other Business"</f>
        <v>A09 - Other Business</v>
      </c>
    </row>
    <row r="84" ht="22.5" customHeight="1">
      <c r="A84" s="12"/>
      <c r="B84" s="12"/>
      <c r="C84" s="30" t="str">
        <f t="shared" si="17"/>
        <v>Business</v>
      </c>
      <c r="D84" s="14"/>
      <c r="E84" s="14"/>
      <c r="F84" s="30"/>
      <c r="G84" s="16"/>
      <c r="H84" s="17"/>
      <c r="I84" s="30"/>
      <c r="J84" s="27"/>
      <c r="K84" s="17"/>
      <c r="L84" s="17"/>
      <c r="M84" s="16" t="str">
        <f t="shared" si="18"/>
        <v>A09 - Other Business</v>
      </c>
    </row>
    <row r="85" ht="22.5" customHeight="1">
      <c r="A85" s="12"/>
      <c r="B85" s="12"/>
      <c r="C85" s="30" t="str">
        <f t="shared" si="17"/>
        <v>Business</v>
      </c>
      <c r="D85" s="14"/>
      <c r="E85" s="14"/>
      <c r="F85" s="30"/>
      <c r="G85" s="16"/>
      <c r="H85" s="17"/>
      <c r="I85" s="30"/>
      <c r="J85" s="27"/>
      <c r="K85" s="17"/>
      <c r="L85" s="17"/>
      <c r="M85" s="16" t="str">
        <f t="shared" si="18"/>
        <v>A09 - Other Business</v>
      </c>
    </row>
    <row r="86" ht="22.5" customHeight="1">
      <c r="A86" s="12"/>
      <c r="B86" s="12"/>
      <c r="C86" s="30" t="str">
        <f t="shared" si="17"/>
        <v>Business</v>
      </c>
      <c r="D86" s="14"/>
      <c r="E86" s="14"/>
      <c r="F86" s="30"/>
      <c r="G86" s="16"/>
      <c r="H86" s="17"/>
      <c r="I86" s="30"/>
      <c r="J86" s="27"/>
      <c r="K86" s="17"/>
      <c r="L86" s="17"/>
      <c r="M86" s="16" t="str">
        <f t="shared" si="18"/>
        <v>A09 - Other Business</v>
      </c>
    </row>
    <row r="87" ht="22.5" customHeight="1">
      <c r="A87" s="12"/>
      <c r="B87" s="12"/>
      <c r="C87" s="30" t="str">
        <f t="shared" si="17"/>
        <v>Business</v>
      </c>
      <c r="D87" s="14"/>
      <c r="E87" s="14"/>
      <c r="F87" s="30"/>
      <c r="G87" s="16"/>
      <c r="H87" s="17"/>
      <c r="I87" s="30"/>
      <c r="J87" s="27"/>
      <c r="K87" s="17"/>
      <c r="L87" s="17"/>
      <c r="M87" s="16" t="str">
        <f t="shared" si="18"/>
        <v>A09 - Other Business</v>
      </c>
    </row>
    <row r="88" ht="1.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</row>
    <row r="89">
      <c r="A89" s="26"/>
    </row>
  </sheetData>
  <mergeCells count="18">
    <mergeCell ref="B1:M1"/>
    <mergeCell ref="A9:M9"/>
    <mergeCell ref="B10:M10"/>
    <mergeCell ref="A18:M18"/>
    <mergeCell ref="B19:M19"/>
    <mergeCell ref="A35:M35"/>
    <mergeCell ref="B36:M36"/>
    <mergeCell ref="B72:M72"/>
    <mergeCell ref="A80:M80"/>
    <mergeCell ref="B81:M81"/>
    <mergeCell ref="A89:M89"/>
    <mergeCell ref="A44:M44"/>
    <mergeCell ref="B45:M45"/>
    <mergeCell ref="A53:M53"/>
    <mergeCell ref="B54:M54"/>
    <mergeCell ref="A62:M62"/>
    <mergeCell ref="B63:M63"/>
    <mergeCell ref="A71:M71"/>
  </mergeCells>
  <dataValidations>
    <dataValidation type="list" allowBlank="1" sqref="J3:J7 J12:J16 J21:J33 J38:J42 J47:J51 J56:J60 J65:J69 J74:J78 J83:J87">
      <formula1>#REF!</formula1>
    </dataValidation>
    <dataValidation type="list" allowBlank="1" sqref="F3:F7 F12:F16 F21:F33 F38:F42 F47:F51 F56:F60 F65:F69 F74:F78 F83:F87">
      <formula1>#REF!</formula1>
    </dataValidation>
    <dataValidation type="custom" allowBlank="1" showDropDown="1" sqref="D3:E7 D12:E16 D21:E33 D38:E42 D47:E51 D56:E60 D65:E69 D74:E78 D83:E87">
      <formula1>OR(NOT(ISERROR(DATEVALUE(D3))), AND(ISNUMBER(D3), LEFT(CELL("format", D3))="D"))</formula1>
    </dataValidation>
    <dataValidation type="list" allowBlank="1" sqref="I3:I7 I12:I16 I21:I33 I38:I42 I47:I51 I56:I60 I65:I69 I74:I78 I83:I87">
      <formula1>#REF!</formula1>
    </dataValidation>
    <dataValidation allowBlank="1" showDropDown="1" sqref="B3:B7 K3:L7 B12:B16 K12:L16 B21:B33 K21:L33 B38:B42 K38:L42 B47:B51 K47:L51 B56:B60 K56:L60 B65:B69 K65:L69 B74:B78 K74:L78 B83:B87 K83:L87"/>
    <dataValidation allowBlank="1" showDropDown="1" sqref="A3:A7 A12:A16 A21:A33 A38:A42 A47:A51 A56:A60 A65:A69 A74:A78 A83:A87"/>
    <dataValidation type="list" allowBlank="1" sqref="G3:G7 M3:M7 G12:G16 M12:M16 G21:G33 M21:M33 G38:G42 M38:M42 G47:G51 M47:M51 G56:G60 M56:M60 G65:G69 M65:M69 G74:G78 M74:M78 G83:G87 M83:M87">
      <formula1>#REF!</formula1>
    </dataValidation>
    <dataValidation type="list" allowBlank="1" sqref="C3:C7 C12:C16 C21:C33 C38:C42 C47:C51 C56:C60 C65:C69 C74:C78 C83:C87">
      <formula1>#REF!</formula1>
    </dataValidation>
  </dataValidation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